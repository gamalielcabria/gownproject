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d.docs.live.net/922b04ae1d997f57/UofC Lab Job/GOWN_DenitroExp/"/>
    </mc:Choice>
  </mc:AlternateContent>
  <xr:revisionPtr revIDLastSave="0" documentId="8_{2D12855B-8C32-4942-ADD3-ED0DC2B44F20}" xr6:coauthVersionLast="47" xr6:coauthVersionMax="47" xr10:uidLastSave="{00000000-0000-0000-0000-000000000000}"/>
  <bookViews>
    <workbookView xWindow="-98" yWindow="-98" windowWidth="21795" windowHeight="13875" xr2:uid="{CA5B5C5E-F40E-415E-BED8-F9F054CDE361}"/>
  </bookViews>
  <sheets>
    <sheet name="Ammonia Assay" sheetId="21" r:id="rId1"/>
    <sheet name="MesoExp_NH3_Results" sheetId="20" r:id="rId2"/>
    <sheet name="Combined_Results" sheetId="18" r:id="rId3"/>
    <sheet name="STD_Results" sheetId="19" r:id="rId4"/>
    <sheet name="Plate1" sheetId="5" r:id="rId5"/>
    <sheet name="Plate1_Results" sheetId="9" r:id="rId6"/>
    <sheet name="Plate2" sheetId="1" r:id="rId7"/>
    <sheet name="Plate2_Results" sheetId="10" r:id="rId8"/>
    <sheet name="Plate3" sheetId="4" r:id="rId9"/>
    <sheet name="Plate3_Results" sheetId="11" r:id="rId10"/>
    <sheet name="Standards" sheetId="6" r:id="rId11"/>
    <sheet name="Plate4" sheetId="13" r:id="rId12"/>
    <sheet name="Plate4_Results" sheetId="14" r:id="rId13"/>
    <sheet name="Plate5" sheetId="15" r:id="rId14"/>
    <sheet name="Plate5_Results" sheetId="16" r:id="rId15"/>
    <sheet name="EmptyPlate" sheetId="17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7" i="21" l="1"/>
  <c r="K197" i="21" s="1"/>
  <c r="I197" i="21"/>
  <c r="I196" i="21"/>
  <c r="J196" i="21" s="1"/>
  <c r="K196" i="21" s="1"/>
  <c r="I195" i="21"/>
  <c r="J195" i="21" s="1"/>
  <c r="K195" i="21" s="1"/>
  <c r="I194" i="21"/>
  <c r="J194" i="21" s="1"/>
  <c r="K194" i="21" s="1"/>
  <c r="I193" i="21"/>
  <c r="J193" i="21" s="1"/>
  <c r="K193" i="21" s="1"/>
  <c r="I192" i="21"/>
  <c r="J192" i="21" s="1"/>
  <c r="K192" i="21" s="1"/>
  <c r="I191" i="21"/>
  <c r="J191" i="21" s="1"/>
  <c r="K191" i="21" s="1"/>
  <c r="I190" i="21"/>
  <c r="J190" i="21" s="1"/>
  <c r="K190" i="21" s="1"/>
  <c r="I189" i="21"/>
  <c r="J189" i="21" s="1"/>
  <c r="K189" i="21" s="1"/>
  <c r="I188" i="21"/>
  <c r="J188" i="21" s="1"/>
  <c r="K188" i="21" s="1"/>
  <c r="I187" i="21"/>
  <c r="J187" i="21" s="1"/>
  <c r="K187" i="21" s="1"/>
  <c r="I186" i="21"/>
  <c r="J186" i="21" s="1"/>
  <c r="K186" i="21" s="1"/>
  <c r="I185" i="21"/>
  <c r="J185" i="21" s="1"/>
  <c r="K185" i="21" s="1"/>
  <c r="I184" i="21"/>
  <c r="J184" i="21" s="1"/>
  <c r="K184" i="21" s="1"/>
  <c r="I183" i="21"/>
  <c r="J183" i="21" s="1"/>
  <c r="K183" i="21" s="1"/>
  <c r="I182" i="21"/>
  <c r="J182" i="21" s="1"/>
  <c r="K182" i="21" s="1"/>
  <c r="I181" i="21"/>
  <c r="J181" i="21" s="1"/>
  <c r="K181" i="21" s="1"/>
  <c r="I180" i="21"/>
  <c r="J180" i="21" s="1"/>
  <c r="K180" i="21" s="1"/>
  <c r="I179" i="21"/>
  <c r="J179" i="21" s="1"/>
  <c r="K179" i="21" s="1"/>
  <c r="I178" i="21"/>
  <c r="J178" i="21" s="1"/>
  <c r="K178" i="21" s="1"/>
  <c r="I177" i="21"/>
  <c r="J177" i="21" s="1"/>
  <c r="K177" i="21" s="1"/>
  <c r="I176" i="21"/>
  <c r="J176" i="21" s="1"/>
  <c r="K176" i="21" s="1"/>
  <c r="I175" i="21"/>
  <c r="J175" i="21" s="1"/>
  <c r="K175" i="21" s="1"/>
  <c r="I174" i="21"/>
  <c r="J174" i="21" s="1"/>
  <c r="K174" i="21" s="1"/>
  <c r="I173" i="21"/>
  <c r="J173" i="21" s="1"/>
  <c r="K173" i="21" s="1"/>
  <c r="I172" i="21"/>
  <c r="J172" i="21" s="1"/>
  <c r="K172" i="21" s="1"/>
  <c r="J171" i="21"/>
  <c r="K171" i="21" s="1"/>
  <c r="I171" i="21"/>
  <c r="I170" i="21"/>
  <c r="J170" i="21" s="1"/>
  <c r="K170" i="21" s="1"/>
  <c r="I169" i="21"/>
  <c r="J169" i="21" s="1"/>
  <c r="K169" i="21" s="1"/>
  <c r="I168" i="21"/>
  <c r="J168" i="21" s="1"/>
  <c r="K168" i="21" s="1"/>
  <c r="I167" i="21"/>
  <c r="J167" i="21" s="1"/>
  <c r="K167" i="21" s="1"/>
  <c r="I166" i="21"/>
  <c r="J166" i="21" s="1"/>
  <c r="K166" i="21" s="1"/>
  <c r="I165" i="21"/>
  <c r="J165" i="21" s="1"/>
  <c r="K165" i="21" s="1"/>
  <c r="J164" i="21"/>
  <c r="K164" i="21" s="1"/>
  <c r="I164" i="21"/>
  <c r="I163" i="21"/>
  <c r="J163" i="21" s="1"/>
  <c r="K163" i="21" s="1"/>
  <c r="I162" i="21"/>
  <c r="J162" i="21" s="1"/>
  <c r="K162" i="21" s="1"/>
  <c r="I161" i="21"/>
  <c r="J161" i="21" s="1"/>
  <c r="K161" i="21" s="1"/>
  <c r="I160" i="21"/>
  <c r="J160" i="21" s="1"/>
  <c r="K160" i="21" s="1"/>
  <c r="I159" i="21"/>
  <c r="J159" i="21" s="1"/>
  <c r="K159" i="21" s="1"/>
  <c r="I158" i="21"/>
  <c r="J158" i="21" s="1"/>
  <c r="K158" i="21" s="1"/>
  <c r="I157" i="21"/>
  <c r="J157" i="21" s="1"/>
  <c r="K157" i="21" s="1"/>
  <c r="I156" i="21"/>
  <c r="J156" i="21" s="1"/>
  <c r="K156" i="21" s="1"/>
  <c r="I155" i="21"/>
  <c r="J155" i="21" s="1"/>
  <c r="K155" i="21" s="1"/>
  <c r="I154" i="21"/>
  <c r="J154" i="21" s="1"/>
  <c r="K154" i="21" s="1"/>
  <c r="I153" i="21"/>
  <c r="J153" i="21" s="1"/>
  <c r="K153" i="21" s="1"/>
  <c r="J152" i="21"/>
  <c r="K152" i="21" s="1"/>
  <c r="I152" i="21"/>
  <c r="I151" i="21"/>
  <c r="J151" i="21" s="1"/>
  <c r="K151" i="21" s="1"/>
  <c r="I150" i="21"/>
  <c r="J150" i="21" s="1"/>
  <c r="K150" i="21" s="1"/>
  <c r="I149" i="21"/>
  <c r="J149" i="21" s="1"/>
  <c r="K149" i="21" s="1"/>
  <c r="I148" i="21"/>
  <c r="J148" i="21" s="1"/>
  <c r="K148" i="21" s="1"/>
  <c r="I147" i="21"/>
  <c r="J147" i="21" s="1"/>
  <c r="K147" i="21" s="1"/>
  <c r="I146" i="21"/>
  <c r="J146" i="21" s="1"/>
  <c r="K146" i="21" s="1"/>
  <c r="I145" i="21"/>
  <c r="J145" i="21" s="1"/>
  <c r="K145" i="21" s="1"/>
  <c r="I144" i="21"/>
  <c r="J144" i="21" s="1"/>
  <c r="K144" i="21" s="1"/>
  <c r="I143" i="21"/>
  <c r="J143" i="21" s="1"/>
  <c r="K143" i="21" s="1"/>
  <c r="I142" i="21"/>
  <c r="J142" i="21" s="1"/>
  <c r="K142" i="21" s="1"/>
  <c r="I141" i="21"/>
  <c r="J141" i="21" s="1"/>
  <c r="K141" i="21" s="1"/>
  <c r="I140" i="21"/>
  <c r="J140" i="21" s="1"/>
  <c r="K140" i="21" s="1"/>
  <c r="I139" i="21"/>
  <c r="J139" i="21" s="1"/>
  <c r="K139" i="21" s="1"/>
  <c r="I138" i="21"/>
  <c r="J138" i="21" s="1"/>
  <c r="K138" i="21" s="1"/>
  <c r="I137" i="21"/>
  <c r="J137" i="21" s="1"/>
  <c r="K137" i="21" s="1"/>
  <c r="I136" i="21"/>
  <c r="J136" i="21" s="1"/>
  <c r="K136" i="21" s="1"/>
  <c r="I135" i="21"/>
  <c r="J135" i="21" s="1"/>
  <c r="K135" i="21" s="1"/>
  <c r="I134" i="21"/>
  <c r="J134" i="21" s="1"/>
  <c r="K134" i="21" s="1"/>
  <c r="I133" i="21"/>
  <c r="J133" i="21" s="1"/>
  <c r="K133" i="21" s="1"/>
  <c r="I132" i="21"/>
  <c r="J132" i="21" s="1"/>
  <c r="K132" i="21" s="1"/>
  <c r="I131" i="21"/>
  <c r="J131" i="21" s="1"/>
  <c r="K131" i="21" s="1"/>
  <c r="I130" i="21"/>
  <c r="J130" i="21" s="1"/>
  <c r="K130" i="21" s="1"/>
  <c r="I129" i="21"/>
  <c r="J129" i="21" s="1"/>
  <c r="K129" i="21" s="1"/>
  <c r="I128" i="21"/>
  <c r="J128" i="21" s="1"/>
  <c r="K128" i="21" s="1"/>
  <c r="I127" i="21"/>
  <c r="J127" i="21" s="1"/>
  <c r="K127" i="21" s="1"/>
  <c r="I126" i="21"/>
  <c r="J126" i="21" s="1"/>
  <c r="K126" i="21" s="1"/>
  <c r="I125" i="21"/>
  <c r="J125" i="21" s="1"/>
  <c r="K125" i="21" s="1"/>
  <c r="I124" i="21"/>
  <c r="J124" i="21" s="1"/>
  <c r="K124" i="21" s="1"/>
  <c r="I123" i="21"/>
  <c r="J123" i="21" s="1"/>
  <c r="K123" i="21" s="1"/>
  <c r="I122" i="21"/>
  <c r="J122" i="21" s="1"/>
  <c r="K122" i="21" s="1"/>
  <c r="I121" i="21"/>
  <c r="J121" i="21" s="1"/>
  <c r="K121" i="21" s="1"/>
  <c r="I120" i="21"/>
  <c r="J120" i="21" s="1"/>
  <c r="K120" i="21" s="1"/>
  <c r="J119" i="21"/>
  <c r="K119" i="21" s="1"/>
  <c r="I119" i="21"/>
  <c r="I118" i="21"/>
  <c r="J118" i="21" s="1"/>
  <c r="K118" i="21" s="1"/>
  <c r="I117" i="21"/>
  <c r="J117" i="21" s="1"/>
  <c r="K117" i="21" s="1"/>
  <c r="I116" i="21"/>
  <c r="J116" i="21" s="1"/>
  <c r="K116" i="21" s="1"/>
  <c r="I115" i="21"/>
  <c r="J115" i="21" s="1"/>
  <c r="K115" i="21" s="1"/>
  <c r="I114" i="21"/>
  <c r="J114" i="21" s="1"/>
  <c r="K114" i="21" s="1"/>
  <c r="I113" i="21"/>
  <c r="J113" i="21" s="1"/>
  <c r="K113" i="21" s="1"/>
  <c r="J112" i="21"/>
  <c r="K112" i="21" s="1"/>
  <c r="I112" i="21"/>
  <c r="I111" i="21"/>
  <c r="J111" i="21" s="1"/>
  <c r="K111" i="21" s="1"/>
  <c r="I110" i="21"/>
  <c r="J110" i="21" s="1"/>
  <c r="K110" i="21" s="1"/>
  <c r="I109" i="21"/>
  <c r="J109" i="21" s="1"/>
  <c r="K109" i="21" s="1"/>
  <c r="I108" i="21"/>
  <c r="J108" i="21" s="1"/>
  <c r="K108" i="21" s="1"/>
  <c r="I107" i="21"/>
  <c r="J107" i="21" s="1"/>
  <c r="K107" i="21" s="1"/>
  <c r="I106" i="21"/>
  <c r="J106" i="21" s="1"/>
  <c r="K106" i="21" s="1"/>
  <c r="I105" i="21"/>
  <c r="J105" i="21" s="1"/>
  <c r="K105" i="21" s="1"/>
  <c r="I104" i="21"/>
  <c r="J104" i="21" s="1"/>
  <c r="K104" i="21" s="1"/>
  <c r="I103" i="21"/>
  <c r="J103" i="21" s="1"/>
  <c r="K103" i="21" s="1"/>
  <c r="I102" i="21"/>
  <c r="J102" i="21" s="1"/>
  <c r="K102" i="21" s="1"/>
  <c r="I101" i="21"/>
  <c r="J101" i="21" s="1"/>
  <c r="K101" i="21" s="1"/>
  <c r="I100" i="21"/>
  <c r="J100" i="21" s="1"/>
  <c r="K100" i="21" s="1"/>
  <c r="I99" i="21"/>
  <c r="J99" i="21" s="1"/>
  <c r="K99" i="21" s="1"/>
  <c r="I98" i="21"/>
  <c r="J98" i="21" s="1"/>
  <c r="K98" i="21" s="1"/>
  <c r="I97" i="21"/>
  <c r="J97" i="21" s="1"/>
  <c r="K97" i="21" s="1"/>
  <c r="I96" i="21"/>
  <c r="J96" i="21" s="1"/>
  <c r="K96" i="21" s="1"/>
  <c r="I95" i="21"/>
  <c r="J95" i="21" s="1"/>
  <c r="K95" i="21" s="1"/>
  <c r="I94" i="21"/>
  <c r="J94" i="21" s="1"/>
  <c r="K94" i="21" s="1"/>
  <c r="I93" i="21"/>
  <c r="J93" i="21" s="1"/>
  <c r="K93" i="21" s="1"/>
  <c r="I92" i="21"/>
  <c r="J92" i="21" s="1"/>
  <c r="K92" i="21" s="1"/>
  <c r="I91" i="21"/>
  <c r="J91" i="21" s="1"/>
  <c r="K91" i="21" s="1"/>
  <c r="I90" i="21"/>
  <c r="J90" i="21" s="1"/>
  <c r="K90" i="21" s="1"/>
  <c r="I89" i="21"/>
  <c r="J89" i="21" s="1"/>
  <c r="K89" i="21" s="1"/>
  <c r="I88" i="21"/>
  <c r="J88" i="21" s="1"/>
  <c r="K88" i="21" s="1"/>
  <c r="I87" i="21"/>
  <c r="J87" i="21" s="1"/>
  <c r="K87" i="21" s="1"/>
  <c r="I86" i="21"/>
  <c r="J86" i="21" s="1"/>
  <c r="K86" i="21" s="1"/>
  <c r="I85" i="21"/>
  <c r="J85" i="21" s="1"/>
  <c r="K85" i="21" s="1"/>
  <c r="I84" i="21"/>
  <c r="J84" i="21" s="1"/>
  <c r="K84" i="21" s="1"/>
  <c r="I83" i="21"/>
  <c r="J83" i="21" s="1"/>
  <c r="K83" i="21" s="1"/>
  <c r="I82" i="21"/>
  <c r="J82" i="21" s="1"/>
  <c r="K82" i="21" s="1"/>
  <c r="I81" i="21"/>
  <c r="J81" i="21" s="1"/>
  <c r="K81" i="21" s="1"/>
  <c r="I80" i="21"/>
  <c r="J80" i="21" s="1"/>
  <c r="K80" i="21" s="1"/>
  <c r="I79" i="21"/>
  <c r="J79" i="21" s="1"/>
  <c r="K79" i="21" s="1"/>
  <c r="I78" i="21"/>
  <c r="J78" i="21" s="1"/>
  <c r="K78" i="21" s="1"/>
  <c r="I77" i="21"/>
  <c r="J77" i="21" s="1"/>
  <c r="K77" i="21" s="1"/>
  <c r="I76" i="21"/>
  <c r="J76" i="21" s="1"/>
  <c r="K76" i="21" s="1"/>
  <c r="J75" i="21"/>
  <c r="K75" i="21" s="1"/>
  <c r="I75" i="21"/>
  <c r="I74" i="21"/>
  <c r="J74" i="21" s="1"/>
  <c r="K74" i="21" s="1"/>
  <c r="I73" i="21"/>
  <c r="J73" i="21" s="1"/>
  <c r="K73" i="21" s="1"/>
  <c r="I72" i="21"/>
  <c r="J72" i="21" s="1"/>
  <c r="K72" i="21" s="1"/>
  <c r="I71" i="21"/>
  <c r="J71" i="21" s="1"/>
  <c r="K71" i="21" s="1"/>
  <c r="I70" i="21"/>
  <c r="J70" i="21" s="1"/>
  <c r="K70" i="21" s="1"/>
  <c r="I69" i="21"/>
  <c r="J69" i="21" s="1"/>
  <c r="K69" i="21" s="1"/>
  <c r="J68" i="21"/>
  <c r="K68" i="21" s="1"/>
  <c r="I68" i="21"/>
  <c r="I67" i="21"/>
  <c r="J67" i="21" s="1"/>
  <c r="K67" i="21" s="1"/>
  <c r="I66" i="21"/>
  <c r="J66" i="21" s="1"/>
  <c r="K66" i="21" s="1"/>
  <c r="I65" i="21"/>
  <c r="J65" i="21" s="1"/>
  <c r="K65" i="21" s="1"/>
  <c r="I64" i="21"/>
  <c r="J64" i="21" s="1"/>
  <c r="K64" i="21" s="1"/>
  <c r="I63" i="21"/>
  <c r="J63" i="21" s="1"/>
  <c r="K63" i="21" s="1"/>
  <c r="I62" i="21"/>
  <c r="J62" i="21" s="1"/>
  <c r="K62" i="21" s="1"/>
  <c r="I61" i="21"/>
  <c r="J61" i="21" s="1"/>
  <c r="K61" i="21" s="1"/>
  <c r="I60" i="21"/>
  <c r="J60" i="21" s="1"/>
  <c r="K60" i="21" s="1"/>
  <c r="I59" i="21"/>
  <c r="J59" i="21" s="1"/>
  <c r="K59" i="21" s="1"/>
  <c r="I58" i="21"/>
  <c r="J58" i="21" s="1"/>
  <c r="K58" i="21" s="1"/>
  <c r="I57" i="21"/>
  <c r="J57" i="21" s="1"/>
  <c r="K57" i="21" s="1"/>
  <c r="J56" i="21"/>
  <c r="K56" i="21" s="1"/>
  <c r="I56" i="21"/>
  <c r="I55" i="21"/>
  <c r="J55" i="21" s="1"/>
  <c r="K55" i="21" s="1"/>
  <c r="I54" i="21"/>
  <c r="J54" i="21" s="1"/>
  <c r="K54" i="21" s="1"/>
  <c r="I53" i="21"/>
  <c r="J53" i="21" s="1"/>
  <c r="K53" i="21" s="1"/>
  <c r="I52" i="21"/>
  <c r="J52" i="21" s="1"/>
  <c r="K52" i="21" s="1"/>
  <c r="I51" i="21"/>
  <c r="J51" i="21" s="1"/>
  <c r="K51" i="21" s="1"/>
  <c r="I50" i="21"/>
  <c r="J50" i="21" s="1"/>
  <c r="K50" i="21" s="1"/>
  <c r="I49" i="21"/>
  <c r="J49" i="21" s="1"/>
  <c r="K49" i="21" s="1"/>
  <c r="I48" i="21"/>
  <c r="J48" i="21" s="1"/>
  <c r="K48" i="21" s="1"/>
  <c r="I47" i="21"/>
  <c r="J47" i="21" s="1"/>
  <c r="K47" i="21" s="1"/>
  <c r="I46" i="21"/>
  <c r="J46" i="21" s="1"/>
  <c r="K46" i="21" s="1"/>
  <c r="I45" i="21"/>
  <c r="J45" i="21" s="1"/>
  <c r="K45" i="21" s="1"/>
  <c r="I44" i="21"/>
  <c r="J44" i="21" s="1"/>
  <c r="K44" i="21" s="1"/>
  <c r="I43" i="21"/>
  <c r="J43" i="21" s="1"/>
  <c r="K43" i="21" s="1"/>
  <c r="I42" i="21"/>
  <c r="J42" i="21" s="1"/>
  <c r="K42" i="21" s="1"/>
  <c r="I41" i="21"/>
  <c r="J41" i="21" s="1"/>
  <c r="K41" i="21" s="1"/>
  <c r="I40" i="21"/>
  <c r="J40" i="21" s="1"/>
  <c r="K40" i="21" s="1"/>
  <c r="I39" i="21"/>
  <c r="J39" i="21" s="1"/>
  <c r="K39" i="21" s="1"/>
  <c r="I38" i="21"/>
  <c r="J38" i="21" s="1"/>
  <c r="K38" i="21" s="1"/>
  <c r="I37" i="21"/>
  <c r="J37" i="21" s="1"/>
  <c r="K37" i="21" s="1"/>
  <c r="I36" i="21"/>
  <c r="J36" i="21" s="1"/>
  <c r="K36" i="21" s="1"/>
  <c r="I35" i="21"/>
  <c r="J35" i="21" s="1"/>
  <c r="K35" i="21" s="1"/>
  <c r="I34" i="21"/>
  <c r="J34" i="21" s="1"/>
  <c r="K34" i="21" s="1"/>
  <c r="I33" i="21"/>
  <c r="J33" i="21" s="1"/>
  <c r="K33" i="21" s="1"/>
  <c r="I32" i="21"/>
  <c r="J32" i="21" s="1"/>
  <c r="K32" i="21" s="1"/>
  <c r="I31" i="21"/>
  <c r="J31" i="21" s="1"/>
  <c r="K31" i="21" s="1"/>
  <c r="I30" i="21"/>
  <c r="J30" i="21" s="1"/>
  <c r="K30" i="21" s="1"/>
  <c r="I29" i="21"/>
  <c r="J29" i="21" s="1"/>
  <c r="K29" i="21" s="1"/>
  <c r="J28" i="21"/>
  <c r="K28" i="21" s="1"/>
  <c r="I28" i="21"/>
  <c r="I27" i="21"/>
  <c r="J27" i="21" s="1"/>
  <c r="K27" i="21" s="1"/>
  <c r="I26" i="21"/>
  <c r="J26" i="21" s="1"/>
  <c r="K26" i="21" s="1"/>
  <c r="I25" i="21"/>
  <c r="J25" i="21" s="1"/>
  <c r="K25" i="21" s="1"/>
  <c r="I24" i="21"/>
  <c r="J24" i="21" s="1"/>
  <c r="K24" i="21" s="1"/>
  <c r="I23" i="21"/>
  <c r="J23" i="21" s="1"/>
  <c r="K23" i="21" s="1"/>
  <c r="I22" i="21"/>
  <c r="J22" i="21" s="1"/>
  <c r="K22" i="21" s="1"/>
  <c r="I21" i="21"/>
  <c r="J21" i="21" s="1"/>
  <c r="K21" i="21" s="1"/>
  <c r="I20" i="21"/>
  <c r="J20" i="21" s="1"/>
  <c r="K20" i="21" s="1"/>
  <c r="I19" i="21"/>
  <c r="J19" i="21" s="1"/>
  <c r="K19" i="21" s="1"/>
  <c r="I18" i="21"/>
  <c r="J18" i="21" s="1"/>
  <c r="K18" i="21" s="1"/>
  <c r="I17" i="21"/>
  <c r="J17" i="21" s="1"/>
  <c r="K17" i="21" s="1"/>
  <c r="I16" i="21"/>
  <c r="J16" i="21" s="1"/>
  <c r="K16" i="21" s="1"/>
  <c r="I15" i="21"/>
  <c r="J15" i="21" s="1"/>
  <c r="K15" i="21" s="1"/>
  <c r="I14" i="21"/>
  <c r="J14" i="21" s="1"/>
  <c r="K14" i="21" s="1"/>
  <c r="I13" i="21"/>
  <c r="J13" i="21" s="1"/>
  <c r="K13" i="21" s="1"/>
  <c r="I12" i="21"/>
  <c r="J12" i="21" s="1"/>
  <c r="K12" i="21" s="1"/>
  <c r="I11" i="21"/>
  <c r="J11" i="21" s="1"/>
  <c r="K11" i="21" s="1"/>
  <c r="I10" i="21"/>
  <c r="J10" i="21" s="1"/>
  <c r="K10" i="21" s="1"/>
  <c r="I9" i="21"/>
  <c r="J9" i="21" s="1"/>
  <c r="K9" i="21" s="1"/>
  <c r="I8" i="21"/>
  <c r="J8" i="21" s="1"/>
  <c r="K8" i="21" s="1"/>
  <c r="I7" i="21"/>
  <c r="J7" i="21" s="1"/>
  <c r="K7" i="21" s="1"/>
  <c r="I6" i="21"/>
  <c r="J6" i="21" s="1"/>
  <c r="K6" i="21" s="1"/>
  <c r="I5" i="21"/>
  <c r="J5" i="21" s="1"/>
  <c r="K5" i="21" s="1"/>
  <c r="I4" i="21"/>
  <c r="J4" i="21" s="1"/>
  <c r="K4" i="21" s="1"/>
  <c r="I3" i="21"/>
  <c r="J3" i="21" s="1"/>
  <c r="K3" i="21" s="1"/>
  <c r="I2" i="21"/>
  <c r="J2" i="21" s="1"/>
  <c r="K2" i="21" s="1"/>
  <c r="K3" i="20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K95" i="20"/>
  <c r="K96" i="20"/>
  <c r="K97" i="20"/>
  <c r="K98" i="20"/>
  <c r="K99" i="20"/>
  <c r="K100" i="20"/>
  <c r="K101" i="20"/>
  <c r="K102" i="20"/>
  <c r="K103" i="20"/>
  <c r="K104" i="20"/>
  <c r="K105" i="20"/>
  <c r="K106" i="20"/>
  <c r="K107" i="20"/>
  <c r="K108" i="20"/>
  <c r="K109" i="20"/>
  <c r="K110" i="20"/>
  <c r="K111" i="20"/>
  <c r="K112" i="20"/>
  <c r="K113" i="20"/>
  <c r="K114" i="20"/>
  <c r="K115" i="20"/>
  <c r="K116" i="20"/>
  <c r="K117" i="20"/>
  <c r="K118" i="20"/>
  <c r="K119" i="20"/>
  <c r="K120" i="20"/>
  <c r="K121" i="20"/>
  <c r="K122" i="20"/>
  <c r="K123" i="20"/>
  <c r="K124" i="20"/>
  <c r="K125" i="20"/>
  <c r="K126" i="20"/>
  <c r="K127" i="20"/>
  <c r="K128" i="20"/>
  <c r="K129" i="20"/>
  <c r="K130" i="20"/>
  <c r="K131" i="20"/>
  <c r="K132" i="20"/>
  <c r="K133" i="20"/>
  <c r="K134" i="20"/>
  <c r="K135" i="20"/>
  <c r="K136" i="20"/>
  <c r="K137" i="20"/>
  <c r="K138" i="20"/>
  <c r="K139" i="20"/>
  <c r="K140" i="20"/>
  <c r="K141" i="20"/>
  <c r="K142" i="20"/>
  <c r="K143" i="20"/>
  <c r="K144" i="20"/>
  <c r="K145" i="20"/>
  <c r="K146" i="20"/>
  <c r="K147" i="20"/>
  <c r="K148" i="20"/>
  <c r="K149" i="20"/>
  <c r="K150" i="20"/>
  <c r="K151" i="20"/>
  <c r="K152" i="20"/>
  <c r="K153" i="20"/>
  <c r="K154" i="20"/>
  <c r="K155" i="20"/>
  <c r="K156" i="20"/>
  <c r="K157" i="20"/>
  <c r="K158" i="20"/>
  <c r="K159" i="20"/>
  <c r="K160" i="20"/>
  <c r="K161" i="20"/>
  <c r="K162" i="20"/>
  <c r="K163" i="20"/>
  <c r="K164" i="20"/>
  <c r="K165" i="20"/>
  <c r="K166" i="20"/>
  <c r="K167" i="20"/>
  <c r="K168" i="20"/>
  <c r="K169" i="20"/>
  <c r="K170" i="20"/>
  <c r="K171" i="20"/>
  <c r="K172" i="20"/>
  <c r="K173" i="20"/>
  <c r="K174" i="20"/>
  <c r="K175" i="20"/>
  <c r="K176" i="20"/>
  <c r="K177" i="20"/>
  <c r="K178" i="20"/>
  <c r="K179" i="20"/>
  <c r="K180" i="20"/>
  <c r="K181" i="20"/>
  <c r="K182" i="20"/>
  <c r="K183" i="20"/>
  <c r="K184" i="20"/>
  <c r="K185" i="20"/>
  <c r="K186" i="20"/>
  <c r="K187" i="20"/>
  <c r="K188" i="20"/>
  <c r="K189" i="20"/>
  <c r="K190" i="20"/>
  <c r="K191" i="20"/>
  <c r="K192" i="20"/>
  <c r="K193" i="20"/>
  <c r="K194" i="20"/>
  <c r="K195" i="20"/>
  <c r="K196" i="20"/>
  <c r="K197" i="20"/>
  <c r="K198" i="20"/>
  <c r="K199" i="20"/>
  <c r="K200" i="20"/>
  <c r="K201" i="20"/>
  <c r="K2" i="20"/>
  <c r="I2" i="18"/>
  <c r="J197" i="20"/>
  <c r="J201" i="20"/>
  <c r="J16" i="20"/>
  <c r="J3" i="20"/>
  <c r="J4" i="20"/>
  <c r="J5" i="20"/>
  <c r="J6" i="20"/>
  <c r="J7" i="20"/>
  <c r="J8" i="20"/>
  <c r="J9" i="20"/>
  <c r="J10" i="20"/>
  <c r="J11" i="20"/>
  <c r="J12" i="20"/>
  <c r="J13" i="20"/>
  <c r="J14" i="20"/>
  <c r="J15" i="20"/>
  <c r="J17" i="20"/>
  <c r="J18" i="20"/>
  <c r="J19" i="20"/>
  <c r="J20" i="20"/>
  <c r="J21" i="20"/>
  <c r="J22" i="20"/>
  <c r="J23" i="20"/>
  <c r="J24" i="20"/>
  <c r="J25" i="20"/>
  <c r="J26" i="20"/>
  <c r="J27" i="20"/>
  <c r="J28" i="20"/>
  <c r="J29" i="20"/>
  <c r="J30" i="20"/>
  <c r="J31" i="20"/>
  <c r="J32" i="20"/>
  <c r="J33" i="20"/>
  <c r="J34" i="20"/>
  <c r="J35" i="20"/>
  <c r="J36" i="20"/>
  <c r="J37" i="20"/>
  <c r="J38" i="20"/>
  <c r="J39" i="20"/>
  <c r="J40" i="20"/>
  <c r="J41" i="20"/>
  <c r="J42" i="20"/>
  <c r="J43" i="20"/>
  <c r="J44" i="20"/>
  <c r="J45" i="20"/>
  <c r="J46" i="20"/>
  <c r="J47" i="20"/>
  <c r="J48" i="20"/>
  <c r="J49" i="20"/>
  <c r="J50" i="20"/>
  <c r="J51" i="20"/>
  <c r="J52" i="20"/>
  <c r="J53" i="20"/>
  <c r="J54" i="20"/>
  <c r="J55" i="20"/>
  <c r="J56" i="20"/>
  <c r="J57" i="20"/>
  <c r="J58" i="20"/>
  <c r="J59" i="20"/>
  <c r="J60" i="20"/>
  <c r="J61" i="20"/>
  <c r="J62" i="20"/>
  <c r="J63" i="20"/>
  <c r="J64" i="20"/>
  <c r="J65" i="20"/>
  <c r="J66" i="20"/>
  <c r="J67" i="20"/>
  <c r="J68" i="20"/>
  <c r="J69" i="20"/>
  <c r="J70" i="20"/>
  <c r="J71" i="20"/>
  <c r="J72" i="20"/>
  <c r="J73" i="20"/>
  <c r="J74" i="20"/>
  <c r="J75" i="20"/>
  <c r="J76" i="20"/>
  <c r="J77" i="20"/>
  <c r="J78" i="20"/>
  <c r="J79" i="20"/>
  <c r="J80" i="20"/>
  <c r="J81" i="20"/>
  <c r="J82" i="20"/>
  <c r="J83" i="20"/>
  <c r="J84" i="20"/>
  <c r="J85" i="20"/>
  <c r="J86" i="20"/>
  <c r="J87" i="20"/>
  <c r="J88" i="20"/>
  <c r="J89" i="20"/>
  <c r="J90" i="20"/>
  <c r="J91" i="20"/>
  <c r="J92" i="20"/>
  <c r="J93" i="20"/>
  <c r="J94" i="20"/>
  <c r="J95" i="20"/>
  <c r="J96" i="20"/>
  <c r="J97" i="20"/>
  <c r="J98" i="20"/>
  <c r="J99" i="20"/>
  <c r="J100" i="20"/>
  <c r="J101" i="20"/>
  <c r="J102" i="20"/>
  <c r="J103" i="20"/>
  <c r="J104" i="20"/>
  <c r="J105" i="20"/>
  <c r="J106" i="20"/>
  <c r="J107" i="20"/>
  <c r="J108" i="20"/>
  <c r="J109" i="20"/>
  <c r="J110" i="20"/>
  <c r="J111" i="20"/>
  <c r="J112" i="20"/>
  <c r="J113" i="20"/>
  <c r="J114" i="20"/>
  <c r="J115" i="20"/>
  <c r="J116" i="20"/>
  <c r="J117" i="20"/>
  <c r="J118" i="20"/>
  <c r="J119" i="20"/>
  <c r="J120" i="20"/>
  <c r="J121" i="20"/>
  <c r="J122" i="20"/>
  <c r="J123" i="20"/>
  <c r="J124" i="20"/>
  <c r="J125" i="20"/>
  <c r="J126" i="20"/>
  <c r="J127" i="20"/>
  <c r="J128" i="20"/>
  <c r="J129" i="20"/>
  <c r="J130" i="20"/>
  <c r="J131" i="20"/>
  <c r="J132" i="20"/>
  <c r="J133" i="20"/>
  <c r="J134" i="20"/>
  <c r="J135" i="20"/>
  <c r="J136" i="20"/>
  <c r="J137" i="20"/>
  <c r="J138" i="20"/>
  <c r="J139" i="20"/>
  <c r="J140" i="20"/>
  <c r="J141" i="20"/>
  <c r="J142" i="20"/>
  <c r="J143" i="20"/>
  <c r="J144" i="20"/>
  <c r="J145" i="20"/>
  <c r="J146" i="20"/>
  <c r="J147" i="20"/>
  <c r="J148" i="20"/>
  <c r="J149" i="20"/>
  <c r="J150" i="20"/>
  <c r="J151" i="20"/>
  <c r="J152" i="20"/>
  <c r="J153" i="20"/>
  <c r="J154" i="20"/>
  <c r="J155" i="20"/>
  <c r="J156" i="20"/>
  <c r="J157" i="20"/>
  <c r="J158" i="20"/>
  <c r="J159" i="20"/>
  <c r="J160" i="20"/>
  <c r="J161" i="20"/>
  <c r="J162" i="20"/>
  <c r="J163" i="20"/>
  <c r="J164" i="20"/>
  <c r="J165" i="20"/>
  <c r="J166" i="20"/>
  <c r="J167" i="20"/>
  <c r="J168" i="20"/>
  <c r="J169" i="20"/>
  <c r="J170" i="20"/>
  <c r="J171" i="20"/>
  <c r="J172" i="20"/>
  <c r="J173" i="20"/>
  <c r="J174" i="20"/>
  <c r="J175" i="20"/>
  <c r="J176" i="20"/>
  <c r="J177" i="20"/>
  <c r="J178" i="20"/>
  <c r="J179" i="20"/>
  <c r="J180" i="20"/>
  <c r="J181" i="20"/>
  <c r="J182" i="20"/>
  <c r="J183" i="20"/>
  <c r="J184" i="20"/>
  <c r="J185" i="20"/>
  <c r="J186" i="20"/>
  <c r="J187" i="20"/>
  <c r="J188" i="20"/>
  <c r="J189" i="20"/>
  <c r="J190" i="20"/>
  <c r="J191" i="20"/>
  <c r="J192" i="20"/>
  <c r="J193" i="20"/>
  <c r="J194" i="20"/>
  <c r="J195" i="20"/>
  <c r="J196" i="20"/>
  <c r="J198" i="20"/>
  <c r="J199" i="20"/>
  <c r="J200" i="20"/>
  <c r="J2" i="20"/>
  <c r="I201" i="20"/>
  <c r="I200" i="20"/>
  <c r="I199" i="20"/>
  <c r="I198" i="20"/>
  <c r="I197" i="20"/>
  <c r="I196" i="20"/>
  <c r="I195" i="20"/>
  <c r="I194" i="20"/>
  <c r="I193" i="20"/>
  <c r="I192" i="20"/>
  <c r="I191" i="20"/>
  <c r="I190" i="20"/>
  <c r="I189" i="20"/>
  <c r="I188" i="20"/>
  <c r="I187" i="20"/>
  <c r="I186" i="20"/>
  <c r="I185" i="20"/>
  <c r="I184" i="20"/>
  <c r="I183" i="20"/>
  <c r="I182" i="20"/>
  <c r="I181" i="20"/>
  <c r="I180" i="20"/>
  <c r="I179" i="20"/>
  <c r="I178" i="20"/>
  <c r="I177" i="20"/>
  <c r="I176" i="20"/>
  <c r="I175" i="20"/>
  <c r="I174" i="20"/>
  <c r="I173" i="20"/>
  <c r="I172" i="20"/>
  <c r="I171" i="20"/>
  <c r="I170" i="20"/>
  <c r="I169" i="20"/>
  <c r="I168" i="20"/>
  <c r="I167" i="20"/>
  <c r="I166" i="20"/>
  <c r="I165" i="20"/>
  <c r="I164" i="20"/>
  <c r="I163" i="20"/>
  <c r="I162" i="20"/>
  <c r="I161" i="20"/>
  <c r="I160" i="20"/>
  <c r="I159" i="20"/>
  <c r="I158" i="20"/>
  <c r="I157" i="20"/>
  <c r="I156" i="20"/>
  <c r="I155" i="20"/>
  <c r="I154" i="20"/>
  <c r="I153" i="20"/>
  <c r="I152" i="20"/>
  <c r="I151" i="20"/>
  <c r="I150" i="20"/>
  <c r="I149" i="20"/>
  <c r="I148" i="20"/>
  <c r="I147" i="20"/>
  <c r="I146" i="20"/>
  <c r="I145" i="20"/>
  <c r="I144" i="20"/>
  <c r="I143" i="20"/>
  <c r="I142" i="20"/>
  <c r="I141" i="20"/>
  <c r="I140" i="20"/>
  <c r="I139" i="20"/>
  <c r="I138" i="20"/>
  <c r="I137" i="20"/>
  <c r="I136" i="20"/>
  <c r="I135" i="20"/>
  <c r="I134" i="20"/>
  <c r="I133" i="20"/>
  <c r="I132" i="20"/>
  <c r="I131" i="20"/>
  <c r="I130" i="20"/>
  <c r="I129" i="20"/>
  <c r="I128" i="20"/>
  <c r="I127" i="20"/>
  <c r="I126" i="20"/>
  <c r="I125" i="20"/>
  <c r="I124" i="20"/>
  <c r="I123" i="20"/>
  <c r="I122" i="20"/>
  <c r="I121" i="20"/>
  <c r="I120" i="20"/>
  <c r="I119" i="20"/>
  <c r="I118" i="20"/>
  <c r="I117" i="20"/>
  <c r="I116" i="20"/>
  <c r="I115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I2" i="20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41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2" i="18"/>
  <c r="Q29" i="19"/>
  <c r="H50" i="19"/>
  <c r="H49" i="19"/>
  <c r="H48" i="19"/>
  <c r="H47" i="19"/>
  <c r="H46" i="19"/>
  <c r="H45" i="19"/>
  <c r="H44" i="19"/>
  <c r="H24" i="19"/>
  <c r="H25" i="19"/>
  <c r="H26" i="19"/>
  <c r="H27" i="19"/>
  <c r="H28" i="19"/>
  <c r="H29" i="19"/>
  <c r="H30" i="19"/>
  <c r="H31" i="19"/>
  <c r="H32" i="19"/>
  <c r="H23" i="19"/>
</calcChain>
</file>

<file path=xl/sharedStrings.xml><?xml version="1.0" encoding="utf-8"?>
<sst xmlns="http://schemas.openxmlformats.org/spreadsheetml/2006/main" count="3410" uniqueCount="521">
  <si>
    <t>Plate_Location</t>
  </si>
  <si>
    <t>Sample</t>
  </si>
  <si>
    <t>Day</t>
  </si>
  <si>
    <t>Setup</t>
  </si>
  <si>
    <t>DilutionCorr</t>
  </si>
  <si>
    <t>Rock_Type</t>
  </si>
  <si>
    <t>REP</t>
  </si>
  <si>
    <t>Absorbance (640nm)</t>
  </si>
  <si>
    <t>Amount NH3 (mg NH3-N/L)</t>
  </si>
  <si>
    <t>Amount NH3_Dilution_Corr (mg NH3-N/L)</t>
  </si>
  <si>
    <t>Amount_NH3</t>
  </si>
  <si>
    <t>P1-A7</t>
  </si>
  <si>
    <t>D0-CL-1</t>
  </si>
  <si>
    <t>CL</t>
  </si>
  <si>
    <t>No_Rocks</t>
  </si>
  <si>
    <t>P1-A8</t>
  </si>
  <si>
    <t>D0-CL-2</t>
  </si>
  <si>
    <t>P1-A9</t>
  </si>
  <si>
    <t>D0-CL-3</t>
  </si>
  <si>
    <t>P1-A10</t>
  </si>
  <si>
    <t>D0-SH-1</t>
  </si>
  <si>
    <t>SH</t>
  </si>
  <si>
    <t>Shale</t>
  </si>
  <si>
    <t>P1-A11</t>
  </si>
  <si>
    <t>D0-SH-2</t>
  </si>
  <si>
    <t>P1-A12</t>
  </si>
  <si>
    <t>D0-SH-3</t>
  </si>
  <si>
    <t>P1-B1</t>
  </si>
  <si>
    <t>D0-SA-1</t>
  </si>
  <si>
    <t>SA</t>
  </si>
  <si>
    <t>Sand</t>
  </si>
  <si>
    <t>P1-B2</t>
  </si>
  <si>
    <t>D0-SA-2</t>
  </si>
  <si>
    <t>P1-B3</t>
  </si>
  <si>
    <t>D0-SA-3</t>
  </si>
  <si>
    <t>P1-B4</t>
  </si>
  <si>
    <t>D0-CO-1</t>
  </si>
  <si>
    <t>CO</t>
  </si>
  <si>
    <t>Coal</t>
  </si>
  <si>
    <t>P1-B5</t>
  </si>
  <si>
    <t>D0-CO-2</t>
  </si>
  <si>
    <t>P1-B6</t>
  </si>
  <si>
    <t>D0-CO-3</t>
  </si>
  <si>
    <t>P1-B7</t>
  </si>
  <si>
    <t>D0-SS-1</t>
  </si>
  <si>
    <t>SS</t>
  </si>
  <si>
    <t>Sandstone</t>
  </si>
  <si>
    <t>P1-B8</t>
  </si>
  <si>
    <t>D0-SS-2</t>
  </si>
  <si>
    <t>P1-B9</t>
  </si>
  <si>
    <t>D0-SS-3</t>
  </si>
  <si>
    <t>P1-B10</t>
  </si>
  <si>
    <t>D7-CL-1</t>
  </si>
  <si>
    <t>P1-B11</t>
  </si>
  <si>
    <t>D7-CL-2</t>
  </si>
  <si>
    <t>P1-B12</t>
  </si>
  <si>
    <t>D7-CL-3</t>
  </si>
  <si>
    <t>P1-C1</t>
  </si>
  <si>
    <t>D7-SH-1</t>
  </si>
  <si>
    <t>P1-C2</t>
  </si>
  <si>
    <t>D7-SH-2</t>
  </si>
  <si>
    <t>P1-C3</t>
  </si>
  <si>
    <t>D7-SH-3</t>
  </si>
  <si>
    <t>P1-C4</t>
  </si>
  <si>
    <t>D7-SA-1</t>
  </si>
  <si>
    <t>P1-C5</t>
  </si>
  <si>
    <t>D7-SA-2</t>
  </si>
  <si>
    <t>P1-C6</t>
  </si>
  <si>
    <t>D7-SA-3</t>
  </si>
  <si>
    <t>P1-C7</t>
  </si>
  <si>
    <t>D7-CO-1</t>
  </si>
  <si>
    <t>P1-C8</t>
  </si>
  <si>
    <t>D7-CO-2</t>
  </si>
  <si>
    <t>P1-C9</t>
  </si>
  <si>
    <t>D7-CO-3</t>
  </si>
  <si>
    <t>P1-C10</t>
  </si>
  <si>
    <t>D7-SS-1</t>
  </si>
  <si>
    <t>P1-C11</t>
  </si>
  <si>
    <t>D7-SS-2</t>
  </si>
  <si>
    <t>P1-C12</t>
  </si>
  <si>
    <t>D7-SS-3</t>
  </si>
  <si>
    <t>P1-D1</t>
  </si>
  <si>
    <t>D15-CL-1</t>
  </si>
  <si>
    <t>P1-D2</t>
  </si>
  <si>
    <t>D15-CL-2</t>
  </si>
  <si>
    <t>P1-D3</t>
  </si>
  <si>
    <t>D15-CL-3</t>
  </si>
  <si>
    <t>P1-D4</t>
  </si>
  <si>
    <t>D15-SH-1</t>
  </si>
  <si>
    <t>P1-D5</t>
  </si>
  <si>
    <t>D15-SH-2</t>
  </si>
  <si>
    <t>P1-D6</t>
  </si>
  <si>
    <t>D15-SH-3</t>
  </si>
  <si>
    <t>P1-D7</t>
  </si>
  <si>
    <t>D15-SA-1</t>
  </si>
  <si>
    <t>P1-D8</t>
  </si>
  <si>
    <t>D15-SA-2</t>
  </si>
  <si>
    <t>P1-D9</t>
  </si>
  <si>
    <t>D15-SA-3</t>
  </si>
  <si>
    <t>P1-D11</t>
  </si>
  <si>
    <t>D15-CO-2</t>
  </si>
  <si>
    <t>P1-D12</t>
  </si>
  <si>
    <t>D15-CO-3</t>
  </si>
  <si>
    <t>P1-E1</t>
  </si>
  <si>
    <t>D15-SS-1</t>
  </si>
  <si>
    <t>P1-E2</t>
  </si>
  <si>
    <t>D15-SS-2</t>
  </si>
  <si>
    <t>P1-E3</t>
  </si>
  <si>
    <t>D15-SS-3</t>
  </si>
  <si>
    <t>P1-E4</t>
  </si>
  <si>
    <t>D21-CL-1</t>
  </si>
  <si>
    <t>P1-E5</t>
  </si>
  <si>
    <t>D21-CL-2</t>
  </si>
  <si>
    <t>P1-E6</t>
  </si>
  <si>
    <t>D21-CL-3</t>
  </si>
  <si>
    <t>P1-E7</t>
  </si>
  <si>
    <t>D21-SH-1</t>
  </si>
  <si>
    <t>P1-E8</t>
  </si>
  <si>
    <t>D21-SH-2</t>
  </si>
  <si>
    <t>P1-E9</t>
  </si>
  <si>
    <t>D21-SH-3</t>
  </si>
  <si>
    <t>P1-E10</t>
  </si>
  <si>
    <t>D21-SA-1</t>
  </si>
  <si>
    <t>P1-E11</t>
  </si>
  <si>
    <t>D21-SA-2</t>
  </si>
  <si>
    <t>P1-E12</t>
  </si>
  <si>
    <t>D21-SA-3</t>
  </si>
  <si>
    <t>P1-F1</t>
  </si>
  <si>
    <t>D21-CO-1</t>
  </si>
  <si>
    <t>P1-F2</t>
  </si>
  <si>
    <t>D21-CO-2</t>
  </si>
  <si>
    <t>P1-F3</t>
  </si>
  <si>
    <t>D21-CO-3</t>
  </si>
  <si>
    <t>P1-F4</t>
  </si>
  <si>
    <t>D21-SS-1</t>
  </si>
  <si>
    <t>P1-F5</t>
  </si>
  <si>
    <t>D21-SS-2</t>
  </si>
  <si>
    <t>P1-F6</t>
  </si>
  <si>
    <t>D21-SS-3</t>
  </si>
  <si>
    <t>P1-F7</t>
  </si>
  <si>
    <t>D28-CL-1</t>
  </si>
  <si>
    <t>P1-F8</t>
  </si>
  <si>
    <t>D28-CL-2</t>
  </si>
  <si>
    <t>P1-F9</t>
  </si>
  <si>
    <t>D28-CL-3</t>
  </si>
  <si>
    <t>P1-F10</t>
  </si>
  <si>
    <t>D28-SH-1</t>
  </si>
  <si>
    <t>P1-F11</t>
  </si>
  <si>
    <t>D28-SH-2</t>
  </si>
  <si>
    <t>P1-F12</t>
  </si>
  <si>
    <t>D28-SH-3</t>
  </si>
  <si>
    <t>P1-G1</t>
  </si>
  <si>
    <t>D28-SA-1</t>
  </si>
  <si>
    <t>P1-G2</t>
  </si>
  <si>
    <t>D28-SA-2</t>
  </si>
  <si>
    <t>P1-G3</t>
  </si>
  <si>
    <t>D28-SA-3</t>
  </si>
  <si>
    <t>P1-G4</t>
  </si>
  <si>
    <t>D28-CO-1</t>
  </si>
  <si>
    <t>P1-G5</t>
  </si>
  <si>
    <t>D28-CO-2</t>
  </si>
  <si>
    <t>P1-G6</t>
  </si>
  <si>
    <t>D28-CO-3</t>
  </si>
  <si>
    <t>P1-G7</t>
  </si>
  <si>
    <t>D28-SS-1</t>
  </si>
  <si>
    <t>P1-G8</t>
  </si>
  <si>
    <t>D28-SS-2</t>
  </si>
  <si>
    <t>P1-G9</t>
  </si>
  <si>
    <t>D28-SS-3</t>
  </si>
  <si>
    <t>P1-G10</t>
  </si>
  <si>
    <t>D36-CL-1</t>
  </si>
  <si>
    <t>P1-G11</t>
  </si>
  <si>
    <t>D36-CL-2</t>
  </si>
  <si>
    <t>P1-G12</t>
  </si>
  <si>
    <t>D36-CL-3</t>
  </si>
  <si>
    <t>P1-H1</t>
  </si>
  <si>
    <t>D36-SH-1</t>
  </si>
  <si>
    <t>P1-H2</t>
  </si>
  <si>
    <t>D36-SH-2</t>
  </si>
  <si>
    <t>P1-H3</t>
  </si>
  <si>
    <t>D36-SH-3</t>
  </si>
  <si>
    <t>P1-H4</t>
  </si>
  <si>
    <t>D36-SA-1</t>
  </si>
  <si>
    <t>P1-H5</t>
  </si>
  <si>
    <t>D36-SA-2</t>
  </si>
  <si>
    <t>P1-H6</t>
  </si>
  <si>
    <t>D36-SA-3</t>
  </si>
  <si>
    <t>P1-H7</t>
  </si>
  <si>
    <t>D36-CO-1</t>
  </si>
  <si>
    <t>P1-H8</t>
  </si>
  <si>
    <t>D36-CO-2</t>
  </si>
  <si>
    <t>P1-H9</t>
  </si>
  <si>
    <t>D36-CO-3</t>
  </si>
  <si>
    <t>P1-H10</t>
  </si>
  <si>
    <t>D36-SS-1</t>
  </si>
  <si>
    <t>P1-H11</t>
  </si>
  <si>
    <t>D36-SS-2</t>
  </si>
  <si>
    <t>P1-H12</t>
  </si>
  <si>
    <t>D36-SS-3</t>
  </si>
  <si>
    <t>P2-A7</t>
  </si>
  <si>
    <t>D44-CL-1</t>
  </si>
  <si>
    <t>P2-A8</t>
  </si>
  <si>
    <t>D44-CL-2</t>
  </si>
  <si>
    <t>P2-A9</t>
  </si>
  <si>
    <t>D44-CL-3</t>
  </si>
  <si>
    <t>P2-A10</t>
  </si>
  <si>
    <t>D44-SH-1</t>
  </si>
  <si>
    <t>P2-A11</t>
  </si>
  <si>
    <t>D44-SH-2</t>
  </si>
  <si>
    <t>P2-A12</t>
  </si>
  <si>
    <t>D44-SH-3</t>
  </si>
  <si>
    <t>P2-B1</t>
  </si>
  <si>
    <t>D44-SA-1</t>
  </si>
  <si>
    <t>P2-B2</t>
  </si>
  <si>
    <t>D44-SA-2</t>
  </si>
  <si>
    <t>P2-B3</t>
  </si>
  <si>
    <t>D44-SA-3</t>
  </si>
  <si>
    <t>P2-B4</t>
  </si>
  <si>
    <t>D44-CO-1</t>
  </si>
  <si>
    <t>P2-B5</t>
  </si>
  <si>
    <t>D44-CO-2</t>
  </si>
  <si>
    <t>P2-B6</t>
  </si>
  <si>
    <t>D44-CO-3</t>
  </si>
  <si>
    <t>P2-B7</t>
  </si>
  <si>
    <t>D44-SS-1</t>
  </si>
  <si>
    <t>P2-B8</t>
  </si>
  <si>
    <t>D44-SS-2</t>
  </si>
  <si>
    <t>P2-B9</t>
  </si>
  <si>
    <t>D44-SS-3</t>
  </si>
  <si>
    <t>P2-B10</t>
  </si>
  <si>
    <t>D50-CL-1</t>
  </si>
  <si>
    <t>P2-B11</t>
  </si>
  <si>
    <t>D50-CL-2</t>
  </si>
  <si>
    <t>P2-B12</t>
  </si>
  <si>
    <t>D50-CL-3</t>
  </si>
  <si>
    <t>P2-C1</t>
  </si>
  <si>
    <t>D50-SH-1</t>
  </si>
  <si>
    <t>P2-C2</t>
  </si>
  <si>
    <t>D50-SH-2</t>
  </si>
  <si>
    <t>P2-C3</t>
  </si>
  <si>
    <t>D50-SH-3</t>
  </si>
  <si>
    <t>P2-C4</t>
  </si>
  <si>
    <t>D50-SA-1</t>
  </si>
  <si>
    <t>P2-C5</t>
  </si>
  <si>
    <t>D50-SA-2</t>
  </si>
  <si>
    <t>P2-C6</t>
  </si>
  <si>
    <t>D50-SA-3</t>
  </si>
  <si>
    <t>P2-C7</t>
  </si>
  <si>
    <t>D50-CO-1</t>
  </si>
  <si>
    <t>P2-C8</t>
  </si>
  <si>
    <t>D50-CO-2</t>
  </si>
  <si>
    <t>P2-C9</t>
  </si>
  <si>
    <t>D50-CO-3</t>
  </si>
  <si>
    <t>P2-C10</t>
  </si>
  <si>
    <t>D50-SS-1</t>
  </si>
  <si>
    <t>P2-C11</t>
  </si>
  <si>
    <t>D50-SS-2</t>
  </si>
  <si>
    <t>P2-C12</t>
  </si>
  <si>
    <t>D50-SS-3</t>
  </si>
  <si>
    <t>P2-D1</t>
  </si>
  <si>
    <t>D56-CL-1</t>
  </si>
  <si>
    <t>P2-D2</t>
  </si>
  <si>
    <t>D56-CL-2</t>
  </si>
  <si>
    <t>P2-D3</t>
  </si>
  <si>
    <t>D56-CL-3</t>
  </si>
  <si>
    <t>P2-D4</t>
  </si>
  <si>
    <t>D56-SH-1</t>
  </si>
  <si>
    <t>P2-D5</t>
  </si>
  <si>
    <t>D56-SH-2</t>
  </si>
  <si>
    <t>P2-D6</t>
  </si>
  <si>
    <t>D56-SH-3</t>
  </si>
  <si>
    <t>P2-D7</t>
  </si>
  <si>
    <t>D56-SA-1</t>
  </si>
  <si>
    <t>P2-D8</t>
  </si>
  <si>
    <t>D56-SA-2</t>
  </si>
  <si>
    <t>P2-D9</t>
  </si>
  <si>
    <t>D56-SA-3</t>
  </si>
  <si>
    <t>P2-D10</t>
  </si>
  <si>
    <t>D56-CO-1</t>
  </si>
  <si>
    <t>P2-D11</t>
  </si>
  <si>
    <t>D56-CO-2</t>
  </si>
  <si>
    <t>P2-D12</t>
  </si>
  <si>
    <t>D56-CO-3</t>
  </si>
  <si>
    <t>P2-E1</t>
  </si>
  <si>
    <t>D56-SS-1</t>
  </si>
  <si>
    <t>P2-E2</t>
  </si>
  <si>
    <t>D56-SS-2</t>
  </si>
  <si>
    <t>P2-E3</t>
  </si>
  <si>
    <t>D56-SS-3</t>
  </si>
  <si>
    <t>P2-E4</t>
  </si>
  <si>
    <t>D65-CL-1</t>
  </si>
  <si>
    <t>P2-E5</t>
  </si>
  <si>
    <t>D65-CL-2</t>
  </si>
  <si>
    <t>P2-E6</t>
  </si>
  <si>
    <t>D65-CL-3</t>
  </si>
  <si>
    <t>P2-E7</t>
  </si>
  <si>
    <t>D65-SH-1</t>
  </si>
  <si>
    <t>P2-E8</t>
  </si>
  <si>
    <t>D65-SH-2</t>
  </si>
  <si>
    <t>P2-E9</t>
  </si>
  <si>
    <t>D65-SH-3</t>
  </si>
  <si>
    <t>P2-E10</t>
  </si>
  <si>
    <t>D65-SA-1</t>
  </si>
  <si>
    <t>P2-E11</t>
  </si>
  <si>
    <t>D65-SA-2</t>
  </si>
  <si>
    <t>P2-E12</t>
  </si>
  <si>
    <t>D65-SA-3</t>
  </si>
  <si>
    <t>P2-F1</t>
  </si>
  <si>
    <t>D65-CO-1</t>
  </si>
  <si>
    <t>P2-F2</t>
  </si>
  <si>
    <t>D65-CO-2</t>
  </si>
  <si>
    <t>P2-F3</t>
  </si>
  <si>
    <t>D65-CO-3</t>
  </si>
  <si>
    <t>P2-F4</t>
  </si>
  <si>
    <t>D65-SS-1</t>
  </si>
  <si>
    <t>P2-F5</t>
  </si>
  <si>
    <t>D65-SS-2</t>
  </si>
  <si>
    <t>P2-F6</t>
  </si>
  <si>
    <t>D65-SS-3</t>
  </si>
  <si>
    <t>P2-F7</t>
  </si>
  <si>
    <t>D73-CL-1</t>
  </si>
  <si>
    <t>P2-F8</t>
  </si>
  <si>
    <t>D73-CL-2</t>
  </si>
  <si>
    <t>P2-F9</t>
  </si>
  <si>
    <t>D73-CL-3</t>
  </si>
  <si>
    <t>P2-F10</t>
  </si>
  <si>
    <t>D73-SH-1</t>
  </si>
  <si>
    <t>P2-F11</t>
  </si>
  <si>
    <t>D73-SH-2</t>
  </si>
  <si>
    <t>P2-F12</t>
  </si>
  <si>
    <t>D73-SH-3</t>
  </si>
  <si>
    <t>P2-G1</t>
  </si>
  <si>
    <t>D73-SA-1</t>
  </si>
  <si>
    <t>P2-G2</t>
  </si>
  <si>
    <t>D73-SA-2</t>
  </si>
  <si>
    <t>P2-G3</t>
  </si>
  <si>
    <t>D73-SA-3</t>
  </si>
  <si>
    <t>P2-G4</t>
  </si>
  <si>
    <t>D73-CO-1</t>
  </si>
  <si>
    <t>P2-G5</t>
  </si>
  <si>
    <t>D73-CO-2</t>
  </si>
  <si>
    <t>P2-G6</t>
  </si>
  <si>
    <t>D73-CO-3</t>
  </si>
  <si>
    <t>P2-G7</t>
  </si>
  <si>
    <t>D73-SS-1</t>
  </si>
  <si>
    <t>P2-G8</t>
  </si>
  <si>
    <t>D73-SS-2</t>
  </si>
  <si>
    <t>P2-G9</t>
  </si>
  <si>
    <t>D73-SS-3</t>
  </si>
  <si>
    <t>P2-G10</t>
  </si>
  <si>
    <t>D78-CL-1</t>
  </si>
  <si>
    <t>P2-G11</t>
  </si>
  <si>
    <t>D78-CL-2</t>
  </si>
  <si>
    <t>P2-G12</t>
  </si>
  <si>
    <t>D78-CL-3</t>
  </si>
  <si>
    <t>P2-H1</t>
  </si>
  <si>
    <t>D78-SH-1</t>
  </si>
  <si>
    <t>P2-H2</t>
  </si>
  <si>
    <t>D78-SH-2</t>
  </si>
  <si>
    <t>P2-H3</t>
  </si>
  <si>
    <t>D78-SH-3</t>
  </si>
  <si>
    <t>P2-H4</t>
  </si>
  <si>
    <t>D78-SA-1</t>
  </si>
  <si>
    <t>P2-H5</t>
  </si>
  <si>
    <t>D78-SA-2</t>
  </si>
  <si>
    <t>P2-H6</t>
  </si>
  <si>
    <t>D78-SA-3</t>
  </si>
  <si>
    <t>P2-H7</t>
  </si>
  <si>
    <t>D78-CO-1</t>
  </si>
  <si>
    <t>P2-H8</t>
  </si>
  <si>
    <t>D78-CO-2</t>
  </si>
  <si>
    <t>P2-H9</t>
  </si>
  <si>
    <t>D78-CO-3</t>
  </si>
  <si>
    <t>P2-H10</t>
  </si>
  <si>
    <t>D78-SS-1</t>
  </si>
  <si>
    <t>P2-H11</t>
  </si>
  <si>
    <t>D78-SS-2</t>
  </si>
  <si>
    <t>P2-H12</t>
  </si>
  <si>
    <t>D78-SS-3</t>
  </si>
  <si>
    <t>P3-A7</t>
  </si>
  <si>
    <t>D88-CL-1</t>
  </si>
  <si>
    <t>P3-A8</t>
  </si>
  <si>
    <t>D88-CL-2</t>
  </si>
  <si>
    <t>P3-A9</t>
  </si>
  <si>
    <t>D88-CL-3</t>
  </si>
  <si>
    <t>P3-A10</t>
  </si>
  <si>
    <t>D88-SH-1</t>
  </si>
  <si>
    <t>P3-A11</t>
  </si>
  <si>
    <t>D88-SH-2</t>
  </si>
  <si>
    <t>P3-A12</t>
  </si>
  <si>
    <t>D88-SH-3</t>
  </si>
  <si>
    <t>P3-B1</t>
  </si>
  <si>
    <t>D88-SA-1</t>
  </si>
  <si>
    <t>P3-B2</t>
  </si>
  <si>
    <t>D88-SA-2</t>
  </si>
  <si>
    <t>P3-B3</t>
  </si>
  <si>
    <t>D88-SA-3</t>
  </si>
  <si>
    <t>P3-B4</t>
  </si>
  <si>
    <t>D88-CO-1</t>
  </si>
  <si>
    <t>P3-B5</t>
  </si>
  <si>
    <t>D88-CO-2</t>
  </si>
  <si>
    <t>P3-B6</t>
  </si>
  <si>
    <t>D88-CO-3</t>
  </si>
  <si>
    <t>P3-B7</t>
  </si>
  <si>
    <t>D88-SS-1</t>
  </si>
  <si>
    <t>P3-B8</t>
  </si>
  <si>
    <t>D88-SS-2</t>
  </si>
  <si>
    <t>P3-B9</t>
  </si>
  <si>
    <t>D88-SS-3</t>
  </si>
  <si>
    <t>P3-C1</t>
  </si>
  <si>
    <t>D37-SH-1-PTU</t>
  </si>
  <si>
    <t>P4-E7</t>
  </si>
  <si>
    <t>D15-CO1-D1</t>
  </si>
  <si>
    <t>CO1</t>
  </si>
  <si>
    <t>P1-D10</t>
  </si>
  <si>
    <t>D15-CO-1</t>
  </si>
  <si>
    <t>P3-B10</t>
  </si>
  <si>
    <t>GW-1</t>
  </si>
  <si>
    <t>D-1</t>
  </si>
  <si>
    <t>GW</t>
  </si>
  <si>
    <t>Groundwater</t>
  </si>
  <si>
    <t>P3-B11</t>
  </si>
  <si>
    <t>GW-2</t>
  </si>
  <si>
    <t>P3-B12</t>
  </si>
  <si>
    <t>GW-3</t>
  </si>
  <si>
    <t>P1-A1</t>
  </si>
  <si>
    <t>EMPTY</t>
  </si>
  <si>
    <t>P1-A2</t>
  </si>
  <si>
    <t>STD1</t>
  </si>
  <si>
    <t>STD</t>
  </si>
  <si>
    <t>P1-A3</t>
  </si>
  <si>
    <t>STD2</t>
  </si>
  <si>
    <t>OVR</t>
  </si>
  <si>
    <t>P1-A4</t>
  </si>
  <si>
    <t>STD3</t>
  </si>
  <si>
    <t>P1-A5</t>
  </si>
  <si>
    <t>STD4</t>
  </si>
  <si>
    <t>P1-A6</t>
  </si>
  <si>
    <t>STD5</t>
  </si>
  <si>
    <t>D0</t>
  </si>
  <si>
    <t>D7</t>
  </si>
  <si>
    <t>D15</t>
  </si>
  <si>
    <t>D21</t>
  </si>
  <si>
    <t>D28</t>
  </si>
  <si>
    <t>D36</t>
  </si>
  <si>
    <t>P2-A1</t>
  </si>
  <si>
    <t>P2-A2</t>
  </si>
  <si>
    <t>P2-A3</t>
  </si>
  <si>
    <t>P2-A4</t>
  </si>
  <si>
    <t>P2-A5</t>
  </si>
  <si>
    <t>P2-A6</t>
  </si>
  <si>
    <t>D44</t>
  </si>
  <si>
    <t>D50</t>
  </si>
  <si>
    <t>D56</t>
  </si>
  <si>
    <t>D65</t>
  </si>
  <si>
    <t>D73</t>
  </si>
  <si>
    <t>D78</t>
  </si>
  <si>
    <t>P3-A1</t>
  </si>
  <si>
    <t>P3-A2</t>
  </si>
  <si>
    <t>P3-A3</t>
  </si>
  <si>
    <t>P3-A4</t>
  </si>
  <si>
    <t>P3-A5</t>
  </si>
  <si>
    <t>P3-A6</t>
  </si>
  <si>
    <t>D88</t>
  </si>
  <si>
    <t>D37</t>
  </si>
  <si>
    <t>P3-C2</t>
  </si>
  <si>
    <t>H2O</t>
  </si>
  <si>
    <t>P3-C3</t>
  </si>
  <si>
    <t>P3-C4</t>
  </si>
  <si>
    <t>P4-E1</t>
  </si>
  <si>
    <t>P1-STD3-D1</t>
  </si>
  <si>
    <t>D1</t>
  </si>
  <si>
    <t>P4-E2</t>
  </si>
  <si>
    <t>P2-STD3-D1</t>
  </si>
  <si>
    <t>P4-E3</t>
  </si>
  <si>
    <t>P3-STD3-D1</t>
  </si>
  <si>
    <t>P4-E4</t>
  </si>
  <si>
    <t>P1-STD3-D2</t>
  </si>
  <si>
    <t>D2</t>
  </si>
  <si>
    <t>P4-E5</t>
  </si>
  <si>
    <t>P2-STD3-D2</t>
  </si>
  <si>
    <t>P4-E6</t>
  </si>
  <si>
    <t>P3-STD3-D2</t>
  </si>
  <si>
    <t>P5-F4</t>
  </si>
  <si>
    <t>P1-STD3-D3</t>
  </si>
  <si>
    <t>D3</t>
  </si>
  <si>
    <t>P5-F5</t>
  </si>
  <si>
    <t>P2-STD3-D3</t>
  </si>
  <si>
    <t>P5-F6</t>
  </si>
  <si>
    <t>P3-STD3-D3</t>
  </si>
  <si>
    <t>P5-F7</t>
  </si>
  <si>
    <t>P3-STD3-D4</t>
  </si>
  <si>
    <t>D4</t>
  </si>
  <si>
    <t>removed empty cells and absorbances that were too high</t>
  </si>
  <si>
    <t>Plate 1</t>
  </si>
  <si>
    <t>A</t>
  </si>
  <si>
    <t>B</t>
  </si>
  <si>
    <t>C</t>
  </si>
  <si>
    <t>D</t>
  </si>
  <si>
    <t>E</t>
  </si>
  <si>
    <t>F</t>
  </si>
  <si>
    <t>G</t>
  </si>
  <si>
    <t>H</t>
  </si>
  <si>
    <t>STD 1</t>
  </si>
  <si>
    <t>mg NH3-N/L</t>
  </si>
  <si>
    <t>STD 2</t>
  </si>
  <si>
    <t>STD 3</t>
  </si>
  <si>
    <t>STD 4</t>
  </si>
  <si>
    <t>STD 5</t>
  </si>
  <si>
    <t>Plate 2</t>
  </si>
  <si>
    <t>Plate 3</t>
  </si>
  <si>
    <t>Plate 4</t>
  </si>
  <si>
    <t>250uL AssaySample</t>
  </si>
  <si>
    <t>250uL Water</t>
  </si>
  <si>
    <t>125uL AssaySample</t>
  </si>
  <si>
    <t>375uL Water</t>
  </si>
  <si>
    <t>250uL D2</t>
  </si>
  <si>
    <t>100uL AssaySample</t>
  </si>
  <si>
    <t>400uL Water</t>
  </si>
  <si>
    <t>Plate 5</t>
  </si>
  <si>
    <t>Empty 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</si>
</sst>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Ammonia</a:t>
            </a:r>
            <a:r>
              <a:rPr lang="en-CA" baseline="0"/>
              <a:t> Assay Standard Curve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STD_Results!$H$35:$H$50</c:f>
              <c:numCache>
                <c:formatCode>General</c:formatCode>
                <c:ptCount val="16"/>
                <c:pt idx="0">
                  <c:v>1</c:v>
                </c:pt>
                <c:pt idx="1">
                  <c:v>0.1</c:v>
                </c:pt>
                <c:pt idx="2">
                  <c:v>1</c:v>
                </c:pt>
                <c:pt idx="3">
                  <c:v>0.1</c:v>
                </c:pt>
                <c:pt idx="4">
                  <c:v>1</c:v>
                </c:pt>
                <c:pt idx="5">
                  <c:v>0.1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1.25</c:v>
                </c:pt>
                <c:pt idx="13">
                  <c:v>1.25</c:v>
                </c:pt>
                <c:pt idx="14">
                  <c:v>1.25</c:v>
                </c:pt>
                <c:pt idx="15">
                  <c:v>2</c:v>
                </c:pt>
              </c:numCache>
            </c:numRef>
          </c:xVal>
          <c:yVal>
            <c:numRef>
              <c:f>STD_Results!$G$35:$G$50</c:f>
              <c:numCache>
                <c:formatCode>General</c:formatCode>
                <c:ptCount val="16"/>
                <c:pt idx="0">
                  <c:v>0.69899999999999995</c:v>
                </c:pt>
                <c:pt idx="1">
                  <c:v>7.3999999999999996E-2</c:v>
                </c:pt>
                <c:pt idx="2">
                  <c:v>0.85699999999999998</c:v>
                </c:pt>
                <c:pt idx="3">
                  <c:v>0.12</c:v>
                </c:pt>
                <c:pt idx="4">
                  <c:v>0.69099999999999995</c:v>
                </c:pt>
                <c:pt idx="5">
                  <c:v>9.5000000000000001E-2</c:v>
                </c:pt>
                <c:pt idx="6">
                  <c:v>3.9E-2</c:v>
                </c:pt>
                <c:pt idx="7">
                  <c:v>3.9E-2</c:v>
                </c:pt>
                <c:pt idx="8">
                  <c:v>3.9E-2</c:v>
                </c:pt>
                <c:pt idx="9">
                  <c:v>1.345</c:v>
                </c:pt>
                <c:pt idx="10">
                  <c:v>1.1579999999999999</c:v>
                </c:pt>
                <c:pt idx="11">
                  <c:v>1.1020000000000001</c:v>
                </c:pt>
                <c:pt idx="12">
                  <c:v>0.70899999999999996</c:v>
                </c:pt>
                <c:pt idx="13">
                  <c:v>0.625</c:v>
                </c:pt>
                <c:pt idx="14">
                  <c:v>0.59099999999999997</c:v>
                </c:pt>
                <c:pt idx="15">
                  <c:v>0.89400000000000002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4-4DBD-A4E8-1F4A0A20A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484608"/>
        <c:axId val="1198497568"/>
      </c:scatterChart>
      <c:valAx>
        <c:axId val="119848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Amount NH3 (mg NH3-N/L)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97568"/>
        <c:crosses val="autoZero"/>
        <c:crossBetween val="midCat"/>
      </c:valAx>
      <c:valAx>
        <c:axId val="119849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Absorbance (640nm)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8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600074</xdr:colOff>
      <xdr:row>33</xdr:row>
      <xdr:rowOff>0</xdr:rowOff>
    </xdr:from>
    <xdr:to>
      <xdr:col>19</xdr:col>
      <xdr:colOff>19050</xdr:colOff>
      <xdr:row>55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D2DEAF-3884-944D-F1E1-25C1B2505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07C4-E543-4BBF-A839-8E80801D8DF7}">
  <sheetPr>
    <pageSetUpPr fitToPage="1"/>
  </sheetPr>
  <dimension ref="A1:T197"/>
  <sheetViews>
    <sheetView tabSelected="1" workbookViewId="0">
      <selection activeCell="E211" sqref="E211"/>
    </sheetView>
  </sheetViews>
  <sheetFormatPr defaultColWidth="10.7109375" defaultRowHeight="15"/>
  <cols>
    <col min="1" max="1" width="15.140625" style="5" customWidth="1"/>
    <col min="2" max="2" width="21" customWidth="1"/>
    <col min="5" max="5" width="14.42578125" customWidth="1"/>
    <col min="6" max="6" width="13.140625" customWidth="1"/>
    <col min="8" max="8" width="17.85546875" customWidth="1"/>
    <col min="9" max="9" width="15.28515625" customWidth="1"/>
    <col min="10" max="10" width="18.42578125" customWidth="1"/>
  </cols>
  <sheetData>
    <row r="1" spans="1:17" s="15" customFormat="1" ht="45">
      <c r="A1" s="12" t="s">
        <v>0</v>
      </c>
      <c r="B1" s="13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10</v>
      </c>
      <c r="L1" s="14"/>
      <c r="M1" s="14"/>
      <c r="N1" s="14"/>
      <c r="O1" s="14"/>
      <c r="P1" s="14"/>
      <c r="Q1" s="14"/>
    </row>
    <row r="2" spans="1:17">
      <c r="A2" s="2" t="s">
        <v>11</v>
      </c>
      <c r="B2" s="3" t="s">
        <v>12</v>
      </c>
      <c r="C2" s="8">
        <v>0</v>
      </c>
      <c r="D2" s="9" t="s">
        <v>13</v>
      </c>
      <c r="E2" s="3">
        <v>1</v>
      </c>
      <c r="F2" s="3" t="s">
        <v>14</v>
      </c>
      <c r="G2" s="10">
        <v>1</v>
      </c>
      <c r="H2" s="3">
        <v>5.5E-2</v>
      </c>
      <c r="I2" s="8">
        <f t="shared" ref="I2:I64" si="0">(H2-0.0951)/0.4565</f>
        <v>-8.7842278203723992E-2</v>
      </c>
      <c r="J2" s="3">
        <f>I2*E2</f>
        <v>-8.7842278203723992E-2</v>
      </c>
      <c r="K2" s="4">
        <f>IF(J2 &lt; 0, 0, J2)</f>
        <v>0</v>
      </c>
      <c r="L2" s="4"/>
      <c r="M2" s="4"/>
      <c r="N2" s="4"/>
      <c r="O2" s="4"/>
      <c r="P2" s="4"/>
      <c r="Q2" s="4"/>
    </row>
    <row r="3" spans="1:17">
      <c r="A3" s="2" t="s">
        <v>15</v>
      </c>
      <c r="B3" s="3" t="s">
        <v>16</v>
      </c>
      <c r="C3" s="8">
        <v>0</v>
      </c>
      <c r="D3" s="9" t="s">
        <v>13</v>
      </c>
      <c r="E3" s="3">
        <v>1</v>
      </c>
      <c r="F3" s="3" t="s">
        <v>14</v>
      </c>
      <c r="G3" s="10">
        <v>2</v>
      </c>
      <c r="H3" s="3">
        <v>5.6000000000000001E-2</v>
      </c>
      <c r="I3" s="8">
        <f t="shared" si="0"/>
        <v>-8.5651697699890478E-2</v>
      </c>
      <c r="J3" s="3">
        <f t="shared" ref="J3:J65" si="1">I3*E3</f>
        <v>-8.5651697699890478E-2</v>
      </c>
      <c r="K3" s="4">
        <f t="shared" ref="K3:K65" si="2">IF(J3 &lt; 0, 0, J3)</f>
        <v>0</v>
      </c>
      <c r="L3" s="4"/>
      <c r="M3" s="4"/>
      <c r="N3" s="4"/>
      <c r="O3" s="4"/>
      <c r="P3" s="4"/>
      <c r="Q3" s="4"/>
    </row>
    <row r="4" spans="1:17">
      <c r="A4" s="2" t="s">
        <v>17</v>
      </c>
      <c r="B4" s="3" t="s">
        <v>18</v>
      </c>
      <c r="C4" s="8">
        <v>0</v>
      </c>
      <c r="D4" s="8" t="s">
        <v>13</v>
      </c>
      <c r="E4" s="3">
        <v>1</v>
      </c>
      <c r="F4" s="3" t="s">
        <v>14</v>
      </c>
      <c r="G4" s="8">
        <v>3</v>
      </c>
      <c r="H4" s="3">
        <v>0.39200000000000002</v>
      </c>
      <c r="I4" s="8">
        <f t="shared" si="0"/>
        <v>0.65038335158817084</v>
      </c>
      <c r="J4" s="3">
        <f t="shared" si="1"/>
        <v>0.65038335158817084</v>
      </c>
      <c r="K4" s="4">
        <f t="shared" si="2"/>
        <v>0.65038335158817084</v>
      </c>
    </row>
    <row r="5" spans="1:17">
      <c r="A5" s="2" t="s">
        <v>19</v>
      </c>
      <c r="B5" s="3" t="s">
        <v>20</v>
      </c>
      <c r="C5" s="8">
        <v>0</v>
      </c>
      <c r="D5" s="8" t="s">
        <v>21</v>
      </c>
      <c r="E5" s="3">
        <v>1</v>
      </c>
      <c r="F5" s="3" t="s">
        <v>22</v>
      </c>
      <c r="G5" s="8">
        <v>1</v>
      </c>
      <c r="H5" s="3">
        <v>0.24199999999999999</v>
      </c>
      <c r="I5" s="8">
        <f t="shared" si="0"/>
        <v>0.32179627601314342</v>
      </c>
      <c r="J5" s="3">
        <f t="shared" si="1"/>
        <v>0.32179627601314342</v>
      </c>
      <c r="K5" s="4">
        <f t="shared" si="2"/>
        <v>0.32179627601314342</v>
      </c>
    </row>
    <row r="6" spans="1:17">
      <c r="A6" s="2" t="s">
        <v>23</v>
      </c>
      <c r="B6" s="3" t="s">
        <v>24</v>
      </c>
      <c r="C6" s="8">
        <v>0</v>
      </c>
      <c r="D6" s="8" t="s">
        <v>21</v>
      </c>
      <c r="E6" s="3">
        <v>1</v>
      </c>
      <c r="F6" s="3" t="s">
        <v>22</v>
      </c>
      <c r="G6" s="8">
        <v>2</v>
      </c>
      <c r="H6" s="3">
        <v>8.6999999999999994E-2</v>
      </c>
      <c r="I6" s="8">
        <f t="shared" si="0"/>
        <v>-1.7743702081051499E-2</v>
      </c>
      <c r="J6" s="3">
        <f t="shared" si="1"/>
        <v>-1.7743702081051499E-2</v>
      </c>
      <c r="K6" s="4">
        <f t="shared" si="2"/>
        <v>0</v>
      </c>
    </row>
    <row r="7" spans="1:17">
      <c r="A7" s="2" t="s">
        <v>25</v>
      </c>
      <c r="B7" s="3" t="s">
        <v>26</v>
      </c>
      <c r="C7" s="8">
        <v>0</v>
      </c>
      <c r="D7" s="8" t="s">
        <v>21</v>
      </c>
      <c r="E7" s="3">
        <v>1</v>
      </c>
      <c r="F7" s="3" t="s">
        <v>22</v>
      </c>
      <c r="G7" s="8">
        <v>3</v>
      </c>
      <c r="H7" s="3">
        <v>0.106</v>
      </c>
      <c r="I7" s="8">
        <f t="shared" si="0"/>
        <v>2.3877327491785307E-2</v>
      </c>
      <c r="J7" s="3">
        <f t="shared" si="1"/>
        <v>2.3877327491785307E-2</v>
      </c>
      <c r="K7" s="4">
        <f t="shared" si="2"/>
        <v>2.3877327491785307E-2</v>
      </c>
    </row>
    <row r="8" spans="1:17">
      <c r="A8" s="2" t="s">
        <v>27</v>
      </c>
      <c r="B8" s="3" t="s">
        <v>28</v>
      </c>
      <c r="C8" s="8">
        <v>0</v>
      </c>
      <c r="D8" s="8" t="s">
        <v>29</v>
      </c>
      <c r="E8" s="3">
        <v>1</v>
      </c>
      <c r="F8" s="3" t="s">
        <v>30</v>
      </c>
      <c r="G8" s="8">
        <v>1</v>
      </c>
      <c r="H8" s="3">
        <v>5.3999999999999999E-2</v>
      </c>
      <c r="I8" s="8">
        <f t="shared" si="0"/>
        <v>-9.0032858707557506E-2</v>
      </c>
      <c r="J8" s="3">
        <f t="shared" si="1"/>
        <v>-9.0032858707557506E-2</v>
      </c>
      <c r="K8" s="4">
        <f t="shared" si="2"/>
        <v>0</v>
      </c>
    </row>
    <row r="9" spans="1:17">
      <c r="A9" s="2" t="s">
        <v>31</v>
      </c>
      <c r="B9" s="3" t="s">
        <v>32</v>
      </c>
      <c r="C9" s="8">
        <v>0</v>
      </c>
      <c r="D9" s="8" t="s">
        <v>29</v>
      </c>
      <c r="E9" s="3">
        <v>1</v>
      </c>
      <c r="F9" s="3" t="s">
        <v>30</v>
      </c>
      <c r="G9" s="8">
        <v>2</v>
      </c>
      <c r="H9" s="3">
        <v>0.17499999999999999</v>
      </c>
      <c r="I9" s="8">
        <f t="shared" si="0"/>
        <v>0.17502738225629788</v>
      </c>
      <c r="J9" s="3">
        <f t="shared" si="1"/>
        <v>0.17502738225629788</v>
      </c>
      <c r="K9" s="4">
        <f t="shared" si="2"/>
        <v>0.17502738225629788</v>
      </c>
    </row>
    <row r="10" spans="1:17">
      <c r="A10" s="2" t="s">
        <v>33</v>
      </c>
      <c r="B10" s="3" t="s">
        <v>34</v>
      </c>
      <c r="C10" s="8">
        <v>0</v>
      </c>
      <c r="D10" s="8" t="s">
        <v>29</v>
      </c>
      <c r="E10" s="3">
        <v>1</v>
      </c>
      <c r="F10" s="3" t="s">
        <v>30</v>
      </c>
      <c r="G10" s="8">
        <v>3</v>
      </c>
      <c r="H10" s="3">
        <v>0.19500000000000001</v>
      </c>
      <c r="I10" s="8">
        <f t="shared" si="0"/>
        <v>0.21883899233296825</v>
      </c>
      <c r="J10" s="3">
        <f t="shared" si="1"/>
        <v>0.21883899233296825</v>
      </c>
      <c r="K10" s="4">
        <f t="shared" si="2"/>
        <v>0.21883899233296825</v>
      </c>
    </row>
    <row r="11" spans="1:17">
      <c r="A11" s="2" t="s">
        <v>35</v>
      </c>
      <c r="B11" s="3" t="s">
        <v>36</v>
      </c>
      <c r="C11" s="8">
        <v>0</v>
      </c>
      <c r="D11" s="8" t="s">
        <v>37</v>
      </c>
      <c r="E11" s="3">
        <v>1</v>
      </c>
      <c r="F11" s="3" t="s">
        <v>38</v>
      </c>
      <c r="G11" s="8">
        <v>1</v>
      </c>
      <c r="H11" s="3">
        <v>0.56599999999999995</v>
      </c>
      <c r="I11" s="8">
        <f t="shared" si="0"/>
        <v>1.0315443592552025</v>
      </c>
      <c r="J11" s="3">
        <f t="shared" si="1"/>
        <v>1.0315443592552025</v>
      </c>
      <c r="K11" s="4">
        <f t="shared" si="2"/>
        <v>1.0315443592552025</v>
      </c>
    </row>
    <row r="12" spans="1:17">
      <c r="A12" s="2" t="s">
        <v>39</v>
      </c>
      <c r="B12" s="3" t="s">
        <v>40</v>
      </c>
      <c r="C12" s="8">
        <v>0</v>
      </c>
      <c r="D12" s="8" t="s">
        <v>37</v>
      </c>
      <c r="E12" s="3">
        <v>1</v>
      </c>
      <c r="F12" s="3" t="s">
        <v>38</v>
      </c>
      <c r="G12" s="8">
        <v>2</v>
      </c>
      <c r="H12" s="3">
        <v>0.622</v>
      </c>
      <c r="I12" s="8">
        <f t="shared" si="0"/>
        <v>1.1542168674698796</v>
      </c>
      <c r="J12" s="3">
        <f t="shared" si="1"/>
        <v>1.1542168674698796</v>
      </c>
      <c r="K12" s="4">
        <f t="shared" si="2"/>
        <v>1.1542168674698796</v>
      </c>
    </row>
    <row r="13" spans="1:17">
      <c r="A13" s="2" t="s">
        <v>41</v>
      </c>
      <c r="B13" s="3" t="s">
        <v>42</v>
      </c>
      <c r="C13" s="8">
        <v>0</v>
      </c>
      <c r="D13" s="8" t="s">
        <v>37</v>
      </c>
      <c r="E13" s="3">
        <v>1</v>
      </c>
      <c r="F13" s="3" t="s">
        <v>38</v>
      </c>
      <c r="G13" s="8">
        <v>3</v>
      </c>
      <c r="H13" s="3">
        <v>0.622</v>
      </c>
      <c r="I13" s="8">
        <f t="shared" si="0"/>
        <v>1.1542168674698796</v>
      </c>
      <c r="J13" s="3">
        <f t="shared" si="1"/>
        <v>1.1542168674698796</v>
      </c>
      <c r="K13" s="4">
        <f t="shared" si="2"/>
        <v>1.1542168674698796</v>
      </c>
    </row>
    <row r="14" spans="1:17">
      <c r="A14" s="2" t="s">
        <v>43</v>
      </c>
      <c r="B14" s="3" t="s">
        <v>44</v>
      </c>
      <c r="C14" s="8">
        <v>0</v>
      </c>
      <c r="D14" s="8" t="s">
        <v>45</v>
      </c>
      <c r="E14" s="3">
        <v>1</v>
      </c>
      <c r="F14" s="3" t="s">
        <v>46</v>
      </c>
      <c r="G14" s="8">
        <v>1</v>
      </c>
      <c r="H14" s="3">
        <v>0.22600000000000001</v>
      </c>
      <c r="I14" s="8">
        <f t="shared" si="0"/>
        <v>0.28674698795180725</v>
      </c>
      <c r="J14" s="3">
        <f t="shared" si="1"/>
        <v>0.28674698795180725</v>
      </c>
      <c r="K14" s="4">
        <f t="shared" si="2"/>
        <v>0.28674698795180725</v>
      </c>
    </row>
    <row r="15" spans="1:17">
      <c r="A15" s="2" t="s">
        <v>47</v>
      </c>
      <c r="B15" s="3" t="s">
        <v>48</v>
      </c>
      <c r="C15" s="8">
        <v>0</v>
      </c>
      <c r="D15" s="8" t="s">
        <v>45</v>
      </c>
      <c r="E15" s="3">
        <v>1</v>
      </c>
      <c r="F15" s="3" t="s">
        <v>46</v>
      </c>
      <c r="G15" s="8">
        <v>2</v>
      </c>
      <c r="H15" s="3">
        <v>0.252</v>
      </c>
      <c r="I15" s="8">
        <f t="shared" si="0"/>
        <v>0.34370208105147859</v>
      </c>
      <c r="J15" s="3">
        <f t="shared" si="1"/>
        <v>0.34370208105147859</v>
      </c>
      <c r="K15" s="4">
        <f t="shared" si="2"/>
        <v>0.34370208105147859</v>
      </c>
    </row>
    <row r="16" spans="1:17">
      <c r="A16" s="2" t="s">
        <v>49</v>
      </c>
      <c r="B16" s="3" t="s">
        <v>50</v>
      </c>
      <c r="C16" s="8">
        <v>0</v>
      </c>
      <c r="D16" s="8" t="s">
        <v>45</v>
      </c>
      <c r="E16" s="3">
        <v>1</v>
      </c>
      <c r="F16" s="3" t="s">
        <v>46</v>
      </c>
      <c r="G16" s="8">
        <v>3</v>
      </c>
      <c r="H16" s="3">
        <v>0.26700000000000002</v>
      </c>
      <c r="I16" s="8">
        <f t="shared" si="0"/>
        <v>0.37656078860898134</v>
      </c>
      <c r="J16" s="3">
        <f>I16*E16</f>
        <v>0.37656078860898134</v>
      </c>
      <c r="K16" s="4">
        <f t="shared" si="2"/>
        <v>0.37656078860898134</v>
      </c>
    </row>
    <row r="17" spans="1:11">
      <c r="A17" s="2" t="s">
        <v>51</v>
      </c>
      <c r="B17" s="3" t="s">
        <v>52</v>
      </c>
      <c r="C17" s="8">
        <v>7</v>
      </c>
      <c r="D17" s="8" t="s">
        <v>13</v>
      </c>
      <c r="E17" s="3">
        <v>1</v>
      </c>
      <c r="F17" s="3" t="s">
        <v>14</v>
      </c>
      <c r="G17" s="8">
        <v>1</v>
      </c>
      <c r="H17" s="3">
        <v>9.2999999999999999E-2</v>
      </c>
      <c r="I17" s="8">
        <f t="shared" si="0"/>
        <v>-4.6002190580503935E-3</v>
      </c>
      <c r="J17" s="3">
        <f t="shared" si="1"/>
        <v>-4.6002190580503935E-3</v>
      </c>
      <c r="K17" s="4">
        <f t="shared" si="2"/>
        <v>0</v>
      </c>
    </row>
    <row r="18" spans="1:11">
      <c r="A18" s="2" t="s">
        <v>53</v>
      </c>
      <c r="B18" s="3" t="s">
        <v>54</v>
      </c>
      <c r="C18" s="8">
        <v>7</v>
      </c>
      <c r="D18" s="8" t="s">
        <v>13</v>
      </c>
      <c r="E18" s="3">
        <v>1</v>
      </c>
      <c r="F18" s="3" t="s">
        <v>14</v>
      </c>
      <c r="G18" s="8">
        <v>2</v>
      </c>
      <c r="H18" s="3">
        <v>4.5999999999999999E-2</v>
      </c>
      <c r="I18" s="8">
        <f t="shared" si="0"/>
        <v>-0.10755750273822563</v>
      </c>
      <c r="J18" s="3">
        <f t="shared" si="1"/>
        <v>-0.10755750273822563</v>
      </c>
      <c r="K18" s="4">
        <f t="shared" si="2"/>
        <v>0</v>
      </c>
    </row>
    <row r="19" spans="1:11">
      <c r="A19" s="2" t="s">
        <v>55</v>
      </c>
      <c r="B19" s="3" t="s">
        <v>56</v>
      </c>
      <c r="C19" s="8">
        <v>7</v>
      </c>
      <c r="D19" s="8" t="s">
        <v>13</v>
      </c>
      <c r="E19" s="3">
        <v>1</v>
      </c>
      <c r="F19" s="3" t="s">
        <v>14</v>
      </c>
      <c r="G19" s="8">
        <v>3</v>
      </c>
      <c r="H19" s="3">
        <v>4.7E-2</v>
      </c>
      <c r="I19" s="8">
        <f t="shared" si="0"/>
        <v>-0.10536692223439212</v>
      </c>
      <c r="J19" s="3">
        <f t="shared" si="1"/>
        <v>-0.10536692223439212</v>
      </c>
      <c r="K19" s="4">
        <f t="shared" si="2"/>
        <v>0</v>
      </c>
    </row>
    <row r="20" spans="1:11">
      <c r="A20" s="2" t="s">
        <v>57</v>
      </c>
      <c r="B20" s="3" t="s">
        <v>58</v>
      </c>
      <c r="C20" s="8">
        <v>7</v>
      </c>
      <c r="D20" s="8" t="s">
        <v>21</v>
      </c>
      <c r="E20" s="3">
        <v>1</v>
      </c>
      <c r="F20" s="3" t="s">
        <v>22</v>
      </c>
      <c r="G20" s="8">
        <v>1</v>
      </c>
      <c r="H20" s="3">
        <v>0.155</v>
      </c>
      <c r="I20" s="8">
        <f t="shared" si="0"/>
        <v>0.1312157721796276</v>
      </c>
      <c r="J20" s="3">
        <f t="shared" si="1"/>
        <v>0.1312157721796276</v>
      </c>
      <c r="K20" s="4">
        <f t="shared" si="2"/>
        <v>0.1312157721796276</v>
      </c>
    </row>
    <row r="21" spans="1:11">
      <c r="A21" s="2" t="s">
        <v>59</v>
      </c>
      <c r="B21" s="3" t="s">
        <v>60</v>
      </c>
      <c r="C21" s="8">
        <v>7</v>
      </c>
      <c r="D21" s="8" t="s">
        <v>21</v>
      </c>
      <c r="E21" s="3">
        <v>1</v>
      </c>
      <c r="F21" s="3" t="s">
        <v>22</v>
      </c>
      <c r="G21" s="8">
        <v>2</v>
      </c>
      <c r="H21" s="3">
        <v>6.3E-2</v>
      </c>
      <c r="I21" s="8">
        <f t="shared" si="0"/>
        <v>-7.0317634173055865E-2</v>
      </c>
      <c r="J21" s="3">
        <f t="shared" si="1"/>
        <v>-7.0317634173055865E-2</v>
      </c>
      <c r="K21" s="4">
        <f t="shared" si="2"/>
        <v>0</v>
      </c>
    </row>
    <row r="22" spans="1:11">
      <c r="A22" s="2" t="s">
        <v>61</v>
      </c>
      <c r="B22" s="3" t="s">
        <v>62</v>
      </c>
      <c r="C22" s="8">
        <v>7</v>
      </c>
      <c r="D22" s="8" t="s">
        <v>21</v>
      </c>
      <c r="E22" s="3">
        <v>1</v>
      </c>
      <c r="F22" s="3" t="s">
        <v>22</v>
      </c>
      <c r="G22" s="8">
        <v>3</v>
      </c>
      <c r="H22" s="3">
        <v>0.06</v>
      </c>
      <c r="I22" s="8">
        <f t="shared" si="0"/>
        <v>-7.6889375684556421E-2</v>
      </c>
      <c r="J22" s="3">
        <f t="shared" si="1"/>
        <v>-7.6889375684556421E-2</v>
      </c>
      <c r="K22" s="4">
        <f t="shared" si="2"/>
        <v>0</v>
      </c>
    </row>
    <row r="23" spans="1:11">
      <c r="A23" s="2" t="s">
        <v>63</v>
      </c>
      <c r="B23" s="3" t="s">
        <v>64</v>
      </c>
      <c r="C23" s="8">
        <v>7</v>
      </c>
      <c r="D23" s="8" t="s">
        <v>29</v>
      </c>
      <c r="E23" s="3">
        <v>1</v>
      </c>
      <c r="F23" s="3" t="s">
        <v>30</v>
      </c>
      <c r="G23" s="8">
        <v>1</v>
      </c>
      <c r="H23" s="3">
        <v>7.0000000000000007E-2</v>
      </c>
      <c r="I23" s="8">
        <f t="shared" si="0"/>
        <v>-5.4983570646221239E-2</v>
      </c>
      <c r="J23" s="3">
        <f t="shared" si="1"/>
        <v>-5.4983570646221239E-2</v>
      </c>
      <c r="K23" s="4">
        <f t="shared" si="2"/>
        <v>0</v>
      </c>
    </row>
    <row r="24" spans="1:11">
      <c r="A24" s="2" t="s">
        <v>65</v>
      </c>
      <c r="B24" s="3" t="s">
        <v>66</v>
      </c>
      <c r="C24" s="8">
        <v>7</v>
      </c>
      <c r="D24" s="8" t="s">
        <v>29</v>
      </c>
      <c r="E24" s="3">
        <v>1</v>
      </c>
      <c r="F24" s="3" t="s">
        <v>30</v>
      </c>
      <c r="G24" s="8">
        <v>2</v>
      </c>
      <c r="H24" s="3">
        <v>7.0999999999999994E-2</v>
      </c>
      <c r="I24" s="8">
        <f t="shared" si="0"/>
        <v>-5.2792990142387752E-2</v>
      </c>
      <c r="J24" s="3">
        <f t="shared" si="1"/>
        <v>-5.2792990142387752E-2</v>
      </c>
      <c r="K24" s="4">
        <f t="shared" si="2"/>
        <v>0</v>
      </c>
    </row>
    <row r="25" spans="1:11">
      <c r="A25" s="2" t="s">
        <v>67</v>
      </c>
      <c r="B25" s="3" t="s">
        <v>68</v>
      </c>
      <c r="C25" s="8">
        <v>7</v>
      </c>
      <c r="D25" s="8" t="s">
        <v>29</v>
      </c>
      <c r="E25" s="3">
        <v>1</v>
      </c>
      <c r="F25" s="3" t="s">
        <v>30</v>
      </c>
      <c r="G25" s="8">
        <v>3</v>
      </c>
      <c r="H25" s="3">
        <v>5.5E-2</v>
      </c>
      <c r="I25" s="8">
        <f t="shared" si="0"/>
        <v>-8.7842278203723992E-2</v>
      </c>
      <c r="J25" s="3">
        <f t="shared" si="1"/>
        <v>-8.7842278203723992E-2</v>
      </c>
      <c r="K25" s="4">
        <f t="shared" si="2"/>
        <v>0</v>
      </c>
    </row>
    <row r="26" spans="1:11">
      <c r="A26" s="2" t="s">
        <v>69</v>
      </c>
      <c r="B26" s="3" t="s">
        <v>70</v>
      </c>
      <c r="C26" s="8">
        <v>7</v>
      </c>
      <c r="D26" s="8" t="s">
        <v>37</v>
      </c>
      <c r="E26" s="3">
        <v>1</v>
      </c>
      <c r="F26" s="3" t="s">
        <v>38</v>
      </c>
      <c r="G26" s="8">
        <v>1</v>
      </c>
      <c r="H26" s="3">
        <v>0.95199999999999996</v>
      </c>
      <c r="I26" s="8">
        <f t="shared" si="0"/>
        <v>1.8771084337349397</v>
      </c>
      <c r="J26" s="3">
        <f t="shared" si="1"/>
        <v>1.8771084337349397</v>
      </c>
      <c r="K26" s="4">
        <f t="shared" si="2"/>
        <v>1.8771084337349397</v>
      </c>
    </row>
    <row r="27" spans="1:11">
      <c r="A27" s="2" t="s">
        <v>71</v>
      </c>
      <c r="B27" s="3" t="s">
        <v>72</v>
      </c>
      <c r="C27" s="8">
        <v>7</v>
      </c>
      <c r="D27" s="8" t="s">
        <v>37</v>
      </c>
      <c r="E27" s="3">
        <v>1</v>
      </c>
      <c r="F27" s="3" t="s">
        <v>38</v>
      </c>
      <c r="G27" s="8">
        <v>2</v>
      </c>
      <c r="H27" s="3">
        <v>0.71099999999999997</v>
      </c>
      <c r="I27" s="8">
        <f t="shared" si="0"/>
        <v>1.3491785323110623</v>
      </c>
      <c r="J27" s="3">
        <f t="shared" si="1"/>
        <v>1.3491785323110623</v>
      </c>
      <c r="K27" s="4">
        <f t="shared" si="2"/>
        <v>1.3491785323110623</v>
      </c>
    </row>
    <row r="28" spans="1:11">
      <c r="A28" s="2" t="s">
        <v>73</v>
      </c>
      <c r="B28" s="3" t="s">
        <v>74</v>
      </c>
      <c r="C28" s="8">
        <v>7</v>
      </c>
      <c r="D28" s="8" t="s">
        <v>37</v>
      </c>
      <c r="E28" s="3">
        <v>1</v>
      </c>
      <c r="F28" s="3" t="s">
        <v>38</v>
      </c>
      <c r="G28" s="8">
        <v>3</v>
      </c>
      <c r="H28" s="3">
        <v>0.92100000000000004</v>
      </c>
      <c r="I28" s="8">
        <f t="shared" si="0"/>
        <v>1.8092004381161009</v>
      </c>
      <c r="J28" s="3">
        <f t="shared" si="1"/>
        <v>1.8092004381161009</v>
      </c>
      <c r="K28" s="4">
        <f t="shared" si="2"/>
        <v>1.8092004381161009</v>
      </c>
    </row>
    <row r="29" spans="1:11">
      <c r="A29" s="2" t="s">
        <v>75</v>
      </c>
      <c r="B29" s="3" t="s">
        <v>76</v>
      </c>
      <c r="C29" s="8">
        <v>7</v>
      </c>
      <c r="D29" s="8" t="s">
        <v>45</v>
      </c>
      <c r="E29" s="3">
        <v>1</v>
      </c>
      <c r="F29" s="3" t="s">
        <v>46</v>
      </c>
      <c r="G29" s="8">
        <v>1</v>
      </c>
      <c r="H29" s="3">
        <v>9.4E-2</v>
      </c>
      <c r="I29" s="8">
        <f t="shared" si="0"/>
        <v>-2.4096385542168755E-3</v>
      </c>
      <c r="J29" s="3">
        <f t="shared" si="1"/>
        <v>-2.4096385542168755E-3</v>
      </c>
      <c r="K29" s="4">
        <f t="shared" si="2"/>
        <v>0</v>
      </c>
    </row>
    <row r="30" spans="1:11">
      <c r="A30" s="2" t="s">
        <v>77</v>
      </c>
      <c r="B30" s="3" t="s">
        <v>78</v>
      </c>
      <c r="C30" s="8">
        <v>7</v>
      </c>
      <c r="D30" s="8" t="s">
        <v>45</v>
      </c>
      <c r="E30" s="3">
        <v>1</v>
      </c>
      <c r="F30" s="3" t="s">
        <v>46</v>
      </c>
      <c r="G30" s="8">
        <v>2</v>
      </c>
      <c r="H30" s="3">
        <v>0.10299999999999999</v>
      </c>
      <c r="I30" s="8">
        <f t="shared" si="0"/>
        <v>1.7305585980284754E-2</v>
      </c>
      <c r="J30" s="3">
        <f t="shared" si="1"/>
        <v>1.7305585980284754E-2</v>
      </c>
      <c r="K30" s="4">
        <f t="shared" si="2"/>
        <v>1.7305585980284754E-2</v>
      </c>
    </row>
    <row r="31" spans="1:11">
      <c r="A31" s="2" t="s">
        <v>79</v>
      </c>
      <c r="B31" s="3" t="s">
        <v>80</v>
      </c>
      <c r="C31" s="8">
        <v>7</v>
      </c>
      <c r="D31" s="8" t="s">
        <v>45</v>
      </c>
      <c r="E31" s="3">
        <v>1</v>
      </c>
      <c r="F31" s="3" t="s">
        <v>46</v>
      </c>
      <c r="G31" s="8">
        <v>3</v>
      </c>
      <c r="H31" s="3">
        <v>0.13</v>
      </c>
      <c r="I31" s="8">
        <f t="shared" si="0"/>
        <v>7.6451259583789705E-2</v>
      </c>
      <c r="J31" s="3">
        <f t="shared" si="1"/>
        <v>7.6451259583789705E-2</v>
      </c>
      <c r="K31" s="4">
        <f t="shared" si="2"/>
        <v>7.6451259583789705E-2</v>
      </c>
    </row>
    <row r="32" spans="1:11">
      <c r="A32" s="2" t="s">
        <v>81</v>
      </c>
      <c r="B32" s="3" t="s">
        <v>82</v>
      </c>
      <c r="C32" s="8">
        <v>15</v>
      </c>
      <c r="D32" s="8" t="s">
        <v>13</v>
      </c>
      <c r="E32" s="3">
        <v>1</v>
      </c>
      <c r="F32" s="3" t="s">
        <v>14</v>
      </c>
      <c r="G32" s="8">
        <v>1</v>
      </c>
      <c r="H32" s="3">
        <v>6.0999999999999999E-2</v>
      </c>
      <c r="I32" s="8">
        <f t="shared" si="0"/>
        <v>-7.4698795180722907E-2</v>
      </c>
      <c r="J32" s="3">
        <f t="shared" si="1"/>
        <v>-7.4698795180722907E-2</v>
      </c>
      <c r="K32" s="4">
        <f t="shared" si="2"/>
        <v>0</v>
      </c>
    </row>
    <row r="33" spans="1:11">
      <c r="A33" s="2" t="s">
        <v>83</v>
      </c>
      <c r="B33" s="3" t="s">
        <v>84</v>
      </c>
      <c r="C33" s="8">
        <v>15</v>
      </c>
      <c r="D33" s="8" t="s">
        <v>13</v>
      </c>
      <c r="E33" s="3">
        <v>1</v>
      </c>
      <c r="F33" s="3" t="s">
        <v>14</v>
      </c>
      <c r="G33" s="8">
        <v>2</v>
      </c>
      <c r="H33" s="3">
        <v>5.3999999999999999E-2</v>
      </c>
      <c r="I33" s="8">
        <f t="shared" si="0"/>
        <v>-9.0032858707557506E-2</v>
      </c>
      <c r="J33" s="3">
        <f t="shared" si="1"/>
        <v>-9.0032858707557506E-2</v>
      </c>
      <c r="K33" s="4">
        <f t="shared" si="2"/>
        <v>0</v>
      </c>
    </row>
    <row r="34" spans="1:11">
      <c r="A34" s="2" t="s">
        <v>85</v>
      </c>
      <c r="B34" s="3" t="s">
        <v>86</v>
      </c>
      <c r="C34" s="8">
        <v>15</v>
      </c>
      <c r="D34" s="8" t="s">
        <v>13</v>
      </c>
      <c r="E34" s="3">
        <v>1</v>
      </c>
      <c r="F34" s="3" t="s">
        <v>14</v>
      </c>
      <c r="G34" s="8">
        <v>3</v>
      </c>
      <c r="H34" s="3">
        <v>0.06</v>
      </c>
      <c r="I34" s="8">
        <f t="shared" si="0"/>
        <v>-7.6889375684556421E-2</v>
      </c>
      <c r="J34" s="3">
        <f t="shared" si="1"/>
        <v>-7.6889375684556421E-2</v>
      </c>
      <c r="K34" s="4">
        <f t="shared" si="2"/>
        <v>0</v>
      </c>
    </row>
    <row r="35" spans="1:11">
      <c r="A35" s="2" t="s">
        <v>87</v>
      </c>
      <c r="B35" s="3" t="s">
        <v>88</v>
      </c>
      <c r="C35" s="8">
        <v>15</v>
      </c>
      <c r="D35" s="8" t="s">
        <v>21</v>
      </c>
      <c r="E35" s="3">
        <v>1</v>
      </c>
      <c r="F35" s="3" t="s">
        <v>22</v>
      </c>
      <c r="G35" s="8">
        <v>1</v>
      </c>
      <c r="H35" s="3">
        <v>0.14000000000000001</v>
      </c>
      <c r="I35" s="8">
        <f>(H35-0.0951)/0.4565</f>
        <v>9.8357064622124873E-2</v>
      </c>
      <c r="J35" s="3">
        <f t="shared" si="1"/>
        <v>9.8357064622124873E-2</v>
      </c>
      <c r="K35" s="4">
        <f t="shared" si="2"/>
        <v>9.8357064622124873E-2</v>
      </c>
    </row>
    <row r="36" spans="1:11">
      <c r="A36" s="2" t="s">
        <v>89</v>
      </c>
      <c r="B36" s="3" t="s">
        <v>90</v>
      </c>
      <c r="C36" s="8">
        <v>15</v>
      </c>
      <c r="D36" s="8" t="s">
        <v>21</v>
      </c>
      <c r="E36" s="3">
        <v>1</v>
      </c>
      <c r="F36" s="3" t="s">
        <v>22</v>
      </c>
      <c r="G36" s="8">
        <v>2</v>
      </c>
      <c r="H36" s="3">
        <v>8.4000000000000005E-2</v>
      </c>
      <c r="I36" s="8">
        <f t="shared" si="0"/>
        <v>-2.4315443592552024E-2</v>
      </c>
      <c r="J36" s="3">
        <f t="shared" si="1"/>
        <v>-2.4315443592552024E-2</v>
      </c>
      <c r="K36" s="4">
        <f t="shared" si="2"/>
        <v>0</v>
      </c>
    </row>
    <row r="37" spans="1:11">
      <c r="A37" s="2" t="s">
        <v>91</v>
      </c>
      <c r="B37" s="3" t="s">
        <v>92</v>
      </c>
      <c r="C37" s="8">
        <v>15</v>
      </c>
      <c r="D37" s="8" t="s">
        <v>21</v>
      </c>
      <c r="E37" s="3">
        <v>1</v>
      </c>
      <c r="F37" s="3" t="s">
        <v>22</v>
      </c>
      <c r="G37" s="8">
        <v>3</v>
      </c>
      <c r="H37" s="3">
        <v>5.1999999999999998E-2</v>
      </c>
      <c r="I37" s="8">
        <f t="shared" si="0"/>
        <v>-9.4414019715224548E-2</v>
      </c>
      <c r="J37" s="3">
        <f t="shared" si="1"/>
        <v>-9.4414019715224548E-2</v>
      </c>
      <c r="K37" s="4">
        <f t="shared" si="2"/>
        <v>0</v>
      </c>
    </row>
    <row r="38" spans="1:11">
      <c r="A38" s="2" t="s">
        <v>93</v>
      </c>
      <c r="B38" s="3" t="s">
        <v>94</v>
      </c>
      <c r="C38" s="8">
        <v>15</v>
      </c>
      <c r="D38" s="8" t="s">
        <v>29</v>
      </c>
      <c r="E38" s="3">
        <v>1</v>
      </c>
      <c r="F38" s="3" t="s">
        <v>30</v>
      </c>
      <c r="G38" s="8">
        <v>1</v>
      </c>
      <c r="H38" s="3">
        <v>0.06</v>
      </c>
      <c r="I38" s="8">
        <f t="shared" si="0"/>
        <v>-7.6889375684556421E-2</v>
      </c>
      <c r="J38" s="3">
        <f t="shared" si="1"/>
        <v>-7.6889375684556421E-2</v>
      </c>
      <c r="K38" s="4">
        <f t="shared" si="2"/>
        <v>0</v>
      </c>
    </row>
    <row r="39" spans="1:11">
      <c r="A39" s="2" t="s">
        <v>95</v>
      </c>
      <c r="B39" s="3" t="s">
        <v>96</v>
      </c>
      <c r="C39" s="8">
        <v>15</v>
      </c>
      <c r="D39" s="8" t="s">
        <v>29</v>
      </c>
      <c r="E39" s="3">
        <v>1</v>
      </c>
      <c r="F39" s="3" t="s">
        <v>30</v>
      </c>
      <c r="G39" s="8">
        <v>2</v>
      </c>
      <c r="H39" s="3">
        <v>7.3999999999999996E-2</v>
      </c>
      <c r="I39" s="8">
        <f t="shared" si="0"/>
        <v>-4.6221248630887203E-2</v>
      </c>
      <c r="J39" s="3">
        <f t="shared" si="1"/>
        <v>-4.6221248630887203E-2</v>
      </c>
      <c r="K39" s="4">
        <f t="shared" si="2"/>
        <v>0</v>
      </c>
    </row>
    <row r="40" spans="1:11">
      <c r="A40" s="2" t="s">
        <v>97</v>
      </c>
      <c r="B40" s="3" t="s">
        <v>98</v>
      </c>
      <c r="C40" s="8">
        <v>15</v>
      </c>
      <c r="D40" s="8" t="s">
        <v>29</v>
      </c>
      <c r="E40" s="3">
        <v>1</v>
      </c>
      <c r="F40" s="3" t="s">
        <v>30</v>
      </c>
      <c r="G40" s="8">
        <v>3</v>
      </c>
      <c r="H40" s="3">
        <v>0.10100000000000001</v>
      </c>
      <c r="I40" s="8">
        <f t="shared" si="0"/>
        <v>1.2924424972617749E-2</v>
      </c>
      <c r="J40" s="3">
        <f t="shared" si="1"/>
        <v>1.2924424972617749E-2</v>
      </c>
      <c r="K40" s="4">
        <f t="shared" si="2"/>
        <v>1.2924424972617749E-2</v>
      </c>
    </row>
    <row r="41" spans="1:11">
      <c r="A41" s="2" t="s">
        <v>99</v>
      </c>
      <c r="B41" s="3" t="s">
        <v>100</v>
      </c>
      <c r="C41" s="8">
        <v>15</v>
      </c>
      <c r="D41" s="8" t="s">
        <v>37</v>
      </c>
      <c r="E41" s="3">
        <v>1</v>
      </c>
      <c r="F41" s="3" t="s">
        <v>38</v>
      </c>
      <c r="G41" s="8">
        <v>2</v>
      </c>
      <c r="H41" s="3">
        <v>0.89700000000000002</v>
      </c>
      <c r="I41" s="8">
        <f t="shared" si="0"/>
        <v>1.7566265060240964</v>
      </c>
      <c r="J41" s="3">
        <f t="shared" si="1"/>
        <v>1.7566265060240964</v>
      </c>
      <c r="K41" s="4">
        <f t="shared" si="2"/>
        <v>1.7566265060240964</v>
      </c>
    </row>
    <row r="42" spans="1:11">
      <c r="A42" s="2" t="s">
        <v>101</v>
      </c>
      <c r="B42" s="3" t="s">
        <v>102</v>
      </c>
      <c r="C42" s="8">
        <v>15</v>
      </c>
      <c r="D42" s="8" t="s">
        <v>37</v>
      </c>
      <c r="E42" s="3">
        <v>1</v>
      </c>
      <c r="F42" s="3" t="s">
        <v>38</v>
      </c>
      <c r="G42" s="8">
        <v>3</v>
      </c>
      <c r="H42" s="3">
        <v>0.69399999999999995</v>
      </c>
      <c r="I42" s="8">
        <f t="shared" si="0"/>
        <v>1.3119386637458925</v>
      </c>
      <c r="J42" s="3">
        <f t="shared" si="1"/>
        <v>1.3119386637458925</v>
      </c>
      <c r="K42" s="4">
        <f t="shared" si="2"/>
        <v>1.3119386637458925</v>
      </c>
    </row>
    <row r="43" spans="1:11">
      <c r="A43" s="2" t="s">
        <v>103</v>
      </c>
      <c r="B43" s="3" t="s">
        <v>104</v>
      </c>
      <c r="C43" s="8">
        <v>15</v>
      </c>
      <c r="D43" s="8" t="s">
        <v>45</v>
      </c>
      <c r="E43" s="3">
        <v>1</v>
      </c>
      <c r="F43" s="3" t="s">
        <v>46</v>
      </c>
      <c r="G43" s="8">
        <v>1</v>
      </c>
      <c r="H43" s="3">
        <v>0.151</v>
      </c>
      <c r="I43" s="8">
        <f t="shared" si="0"/>
        <v>0.12245345016429351</v>
      </c>
      <c r="J43" s="3">
        <f t="shared" si="1"/>
        <v>0.12245345016429351</v>
      </c>
      <c r="K43" s="4">
        <f t="shared" si="2"/>
        <v>0.12245345016429351</v>
      </c>
    </row>
    <row r="44" spans="1:11">
      <c r="A44" s="2" t="s">
        <v>105</v>
      </c>
      <c r="B44" s="3" t="s">
        <v>106</v>
      </c>
      <c r="C44" s="8">
        <v>15</v>
      </c>
      <c r="D44" s="8" t="s">
        <v>45</v>
      </c>
      <c r="E44" s="3">
        <v>1</v>
      </c>
      <c r="F44" s="3" t="s">
        <v>46</v>
      </c>
      <c r="G44" s="8">
        <v>2</v>
      </c>
      <c r="H44" s="3">
        <v>5.6000000000000001E-2</v>
      </c>
      <c r="I44" s="8">
        <f t="shared" si="0"/>
        <v>-8.5651697699890478E-2</v>
      </c>
      <c r="J44" s="3">
        <f t="shared" si="1"/>
        <v>-8.5651697699890478E-2</v>
      </c>
      <c r="K44" s="4">
        <f t="shared" si="2"/>
        <v>0</v>
      </c>
    </row>
    <row r="45" spans="1:11">
      <c r="A45" s="2" t="s">
        <v>107</v>
      </c>
      <c r="B45" s="3" t="s">
        <v>108</v>
      </c>
      <c r="C45" s="8">
        <v>15</v>
      </c>
      <c r="D45" s="8" t="s">
        <v>45</v>
      </c>
      <c r="E45" s="3">
        <v>1</v>
      </c>
      <c r="F45" s="3" t="s">
        <v>46</v>
      </c>
      <c r="G45" s="8">
        <v>3</v>
      </c>
      <c r="H45" s="3">
        <v>7.0000000000000007E-2</v>
      </c>
      <c r="I45" s="8">
        <f t="shared" si="0"/>
        <v>-5.4983570646221239E-2</v>
      </c>
      <c r="J45" s="3">
        <f t="shared" si="1"/>
        <v>-5.4983570646221239E-2</v>
      </c>
      <c r="K45" s="4">
        <f t="shared" si="2"/>
        <v>0</v>
      </c>
    </row>
    <row r="46" spans="1:11">
      <c r="A46" s="2" t="s">
        <v>109</v>
      </c>
      <c r="B46" s="3" t="s">
        <v>110</v>
      </c>
      <c r="C46" s="8">
        <v>21</v>
      </c>
      <c r="D46" s="8" t="s">
        <v>13</v>
      </c>
      <c r="E46" s="3">
        <v>1</v>
      </c>
      <c r="F46" s="3" t="s">
        <v>14</v>
      </c>
      <c r="G46" s="8">
        <v>1</v>
      </c>
      <c r="H46" s="3">
        <v>5.8000000000000003E-2</v>
      </c>
      <c r="I46" s="8">
        <f t="shared" si="0"/>
        <v>-8.1270536692223436E-2</v>
      </c>
      <c r="J46" s="3">
        <f t="shared" si="1"/>
        <v>-8.1270536692223436E-2</v>
      </c>
      <c r="K46" s="4">
        <f t="shared" si="2"/>
        <v>0</v>
      </c>
    </row>
    <row r="47" spans="1:11">
      <c r="A47" s="2" t="s">
        <v>111</v>
      </c>
      <c r="B47" s="3" t="s">
        <v>112</v>
      </c>
      <c r="C47" s="8">
        <v>21</v>
      </c>
      <c r="D47" s="8" t="s">
        <v>13</v>
      </c>
      <c r="E47" s="3">
        <v>1</v>
      </c>
      <c r="F47" s="3" t="s">
        <v>14</v>
      </c>
      <c r="G47" s="8">
        <v>2</v>
      </c>
      <c r="H47" s="3">
        <v>5.7000000000000002E-2</v>
      </c>
      <c r="I47" s="8">
        <f t="shared" si="0"/>
        <v>-8.346111719605695E-2</v>
      </c>
      <c r="J47" s="3">
        <f t="shared" si="1"/>
        <v>-8.346111719605695E-2</v>
      </c>
      <c r="K47" s="4">
        <f t="shared" si="2"/>
        <v>0</v>
      </c>
    </row>
    <row r="48" spans="1:11">
      <c r="A48" s="2" t="s">
        <v>113</v>
      </c>
      <c r="B48" s="3" t="s">
        <v>114</v>
      </c>
      <c r="C48" s="8">
        <v>21</v>
      </c>
      <c r="D48" s="8" t="s">
        <v>13</v>
      </c>
      <c r="E48" s="3">
        <v>1</v>
      </c>
      <c r="F48" s="3" t="s">
        <v>14</v>
      </c>
      <c r="G48" s="8">
        <v>3</v>
      </c>
      <c r="H48" s="3">
        <v>5.6000000000000001E-2</v>
      </c>
      <c r="I48" s="8">
        <f t="shared" si="0"/>
        <v>-8.5651697699890478E-2</v>
      </c>
      <c r="J48" s="3">
        <f t="shared" si="1"/>
        <v>-8.5651697699890478E-2</v>
      </c>
      <c r="K48" s="4">
        <f t="shared" si="2"/>
        <v>0</v>
      </c>
    </row>
    <row r="49" spans="1:11">
      <c r="A49" s="2" t="s">
        <v>115</v>
      </c>
      <c r="B49" s="3" t="s">
        <v>116</v>
      </c>
      <c r="C49" s="8">
        <v>21</v>
      </c>
      <c r="D49" s="8" t="s">
        <v>21</v>
      </c>
      <c r="E49" s="3">
        <v>1</v>
      </c>
      <c r="F49" s="3" t="s">
        <v>22</v>
      </c>
      <c r="G49" s="8">
        <v>1</v>
      </c>
      <c r="H49" s="3">
        <v>0.14799999999999999</v>
      </c>
      <c r="I49" s="8">
        <f t="shared" si="0"/>
        <v>0.11588170865279296</v>
      </c>
      <c r="J49" s="3">
        <f t="shared" si="1"/>
        <v>0.11588170865279296</v>
      </c>
      <c r="K49" s="4">
        <f t="shared" si="2"/>
        <v>0.11588170865279296</v>
      </c>
    </row>
    <row r="50" spans="1:11">
      <c r="A50" s="2" t="s">
        <v>117</v>
      </c>
      <c r="B50" s="3" t="s">
        <v>118</v>
      </c>
      <c r="C50" s="8">
        <v>21</v>
      </c>
      <c r="D50" s="8" t="s">
        <v>21</v>
      </c>
      <c r="E50" s="3">
        <v>1</v>
      </c>
      <c r="F50" s="3" t="s">
        <v>22</v>
      </c>
      <c r="G50" s="8">
        <v>2</v>
      </c>
      <c r="H50" s="3">
        <v>0.153</v>
      </c>
      <c r="I50" s="8">
        <f t="shared" si="0"/>
        <v>0.12683461117196054</v>
      </c>
      <c r="J50" s="3">
        <f t="shared" si="1"/>
        <v>0.12683461117196054</v>
      </c>
      <c r="K50" s="4">
        <f t="shared" si="2"/>
        <v>0.12683461117196054</v>
      </c>
    </row>
    <row r="51" spans="1:11">
      <c r="A51" s="2" t="s">
        <v>119</v>
      </c>
      <c r="B51" s="3" t="s">
        <v>120</v>
      </c>
      <c r="C51" s="8">
        <v>21</v>
      </c>
      <c r="D51" s="8" t="s">
        <v>21</v>
      </c>
      <c r="E51" s="3">
        <v>1</v>
      </c>
      <c r="F51" s="3" t="s">
        <v>22</v>
      </c>
      <c r="G51" s="8">
        <v>3</v>
      </c>
      <c r="H51" s="3">
        <v>0.14599999999999999</v>
      </c>
      <c r="I51" s="8">
        <f t="shared" si="0"/>
        <v>0.11150054764512593</v>
      </c>
      <c r="J51" s="3">
        <f t="shared" si="1"/>
        <v>0.11150054764512593</v>
      </c>
      <c r="K51" s="4">
        <f t="shared" si="2"/>
        <v>0.11150054764512593</v>
      </c>
    </row>
    <row r="52" spans="1:11">
      <c r="A52" s="2" t="s">
        <v>121</v>
      </c>
      <c r="B52" s="3" t="s">
        <v>122</v>
      </c>
      <c r="C52" s="8">
        <v>21</v>
      </c>
      <c r="D52" s="8" t="s">
        <v>29</v>
      </c>
      <c r="E52" s="3">
        <v>1</v>
      </c>
      <c r="F52" s="3" t="s">
        <v>30</v>
      </c>
      <c r="G52" s="8">
        <v>1</v>
      </c>
      <c r="H52" s="3">
        <v>6.6000000000000003E-2</v>
      </c>
      <c r="I52" s="8">
        <f t="shared" si="0"/>
        <v>-6.3745892661555309E-2</v>
      </c>
      <c r="J52" s="3">
        <f t="shared" si="1"/>
        <v>-6.3745892661555309E-2</v>
      </c>
      <c r="K52" s="4">
        <f t="shared" si="2"/>
        <v>0</v>
      </c>
    </row>
    <row r="53" spans="1:11">
      <c r="A53" s="2" t="s">
        <v>123</v>
      </c>
      <c r="B53" s="3" t="s">
        <v>124</v>
      </c>
      <c r="C53" s="8">
        <v>21</v>
      </c>
      <c r="D53" s="8" t="s">
        <v>29</v>
      </c>
      <c r="E53" s="3">
        <v>1</v>
      </c>
      <c r="F53" s="3" t="s">
        <v>30</v>
      </c>
      <c r="G53" s="8">
        <v>2</v>
      </c>
      <c r="H53" s="3">
        <v>7.8E-2</v>
      </c>
      <c r="I53" s="8">
        <f t="shared" si="0"/>
        <v>-3.7458926615553126E-2</v>
      </c>
      <c r="J53" s="3">
        <f t="shared" si="1"/>
        <v>-3.7458926615553126E-2</v>
      </c>
      <c r="K53" s="4">
        <f t="shared" si="2"/>
        <v>0</v>
      </c>
    </row>
    <row r="54" spans="1:11">
      <c r="A54" s="2" t="s">
        <v>125</v>
      </c>
      <c r="B54" s="3" t="s">
        <v>126</v>
      </c>
      <c r="C54" s="8">
        <v>21</v>
      </c>
      <c r="D54" s="8" t="s">
        <v>29</v>
      </c>
      <c r="E54" s="3">
        <v>1</v>
      </c>
      <c r="F54" s="3" t="s">
        <v>30</v>
      </c>
      <c r="G54" s="8">
        <v>3</v>
      </c>
      <c r="H54" s="3">
        <v>8.4000000000000005E-2</v>
      </c>
      <c r="I54" s="8">
        <f t="shared" si="0"/>
        <v>-2.4315443592552024E-2</v>
      </c>
      <c r="J54" s="3">
        <f t="shared" si="1"/>
        <v>-2.4315443592552024E-2</v>
      </c>
      <c r="K54" s="4">
        <f t="shared" si="2"/>
        <v>0</v>
      </c>
    </row>
    <row r="55" spans="1:11">
      <c r="A55" s="2" t="s">
        <v>127</v>
      </c>
      <c r="B55" s="3" t="s">
        <v>128</v>
      </c>
      <c r="C55" s="8">
        <v>21</v>
      </c>
      <c r="D55" s="8" t="s">
        <v>37</v>
      </c>
      <c r="E55" s="3">
        <v>1</v>
      </c>
      <c r="F55" s="3" t="s">
        <v>38</v>
      </c>
      <c r="G55" s="8">
        <v>1</v>
      </c>
      <c r="H55" s="3">
        <v>0.85899999999999999</v>
      </c>
      <c r="I55" s="8">
        <f t="shared" si="0"/>
        <v>1.6733844468784227</v>
      </c>
      <c r="J55" s="3">
        <f t="shared" si="1"/>
        <v>1.6733844468784227</v>
      </c>
      <c r="K55" s="4">
        <f t="shared" si="2"/>
        <v>1.6733844468784227</v>
      </c>
    </row>
    <row r="56" spans="1:11">
      <c r="A56" s="2" t="s">
        <v>129</v>
      </c>
      <c r="B56" s="3" t="s">
        <v>130</v>
      </c>
      <c r="C56" s="8">
        <v>21</v>
      </c>
      <c r="D56" s="8" t="s">
        <v>37</v>
      </c>
      <c r="E56" s="3">
        <v>1</v>
      </c>
      <c r="F56" s="3" t="s">
        <v>38</v>
      </c>
      <c r="G56" s="8">
        <v>2</v>
      </c>
      <c r="H56" s="3">
        <v>0.71</v>
      </c>
      <c r="I56" s="8">
        <f t="shared" si="0"/>
        <v>1.346987951807229</v>
      </c>
      <c r="J56" s="3">
        <f t="shared" si="1"/>
        <v>1.346987951807229</v>
      </c>
      <c r="K56" s="4">
        <f t="shared" si="2"/>
        <v>1.346987951807229</v>
      </c>
    </row>
    <row r="57" spans="1:11">
      <c r="A57" s="2" t="s">
        <v>131</v>
      </c>
      <c r="B57" s="3" t="s">
        <v>132</v>
      </c>
      <c r="C57" s="8">
        <v>21</v>
      </c>
      <c r="D57" s="8" t="s">
        <v>37</v>
      </c>
      <c r="E57" s="3">
        <v>1</v>
      </c>
      <c r="F57" s="3" t="s">
        <v>38</v>
      </c>
      <c r="G57" s="8">
        <v>3</v>
      </c>
      <c r="H57" s="3">
        <v>0.68600000000000005</v>
      </c>
      <c r="I57" s="8">
        <f t="shared" si="0"/>
        <v>1.2944140197152247</v>
      </c>
      <c r="J57" s="3">
        <f t="shared" si="1"/>
        <v>1.2944140197152247</v>
      </c>
      <c r="K57" s="4">
        <f t="shared" si="2"/>
        <v>1.2944140197152247</v>
      </c>
    </row>
    <row r="58" spans="1:11">
      <c r="A58" s="2" t="s">
        <v>133</v>
      </c>
      <c r="B58" s="3" t="s">
        <v>134</v>
      </c>
      <c r="C58" s="8">
        <v>21</v>
      </c>
      <c r="D58" s="8" t="s">
        <v>45</v>
      </c>
      <c r="E58" s="3">
        <v>1</v>
      </c>
      <c r="F58" s="3" t="s">
        <v>46</v>
      </c>
      <c r="G58" s="8">
        <v>1</v>
      </c>
      <c r="H58" s="3">
        <v>0.17199999999999999</v>
      </c>
      <c r="I58" s="8">
        <f t="shared" si="0"/>
        <v>0.16845564074479732</v>
      </c>
      <c r="J58" s="3">
        <f t="shared" si="1"/>
        <v>0.16845564074479732</v>
      </c>
      <c r="K58" s="4">
        <f t="shared" si="2"/>
        <v>0.16845564074479732</v>
      </c>
    </row>
    <row r="59" spans="1:11">
      <c r="A59" s="2" t="s">
        <v>135</v>
      </c>
      <c r="B59" s="3" t="s">
        <v>136</v>
      </c>
      <c r="C59" s="8">
        <v>21</v>
      </c>
      <c r="D59" s="8" t="s">
        <v>45</v>
      </c>
      <c r="E59" s="3">
        <v>1</v>
      </c>
      <c r="F59" s="3" t="s">
        <v>46</v>
      </c>
      <c r="G59" s="8">
        <v>2</v>
      </c>
      <c r="H59" s="3">
        <v>0.17</v>
      </c>
      <c r="I59" s="8">
        <f t="shared" si="0"/>
        <v>0.16407447973713035</v>
      </c>
      <c r="J59" s="3">
        <f t="shared" si="1"/>
        <v>0.16407447973713035</v>
      </c>
      <c r="K59" s="4">
        <f t="shared" si="2"/>
        <v>0.16407447973713035</v>
      </c>
    </row>
    <row r="60" spans="1:11">
      <c r="A60" s="2" t="s">
        <v>137</v>
      </c>
      <c r="B60" s="3" t="s">
        <v>138</v>
      </c>
      <c r="C60" s="8">
        <v>21</v>
      </c>
      <c r="D60" s="8" t="s">
        <v>45</v>
      </c>
      <c r="E60" s="3">
        <v>1</v>
      </c>
      <c r="F60" s="3" t="s">
        <v>46</v>
      </c>
      <c r="G60" s="8">
        <v>3</v>
      </c>
      <c r="H60" s="3">
        <v>0.19</v>
      </c>
      <c r="I60" s="8">
        <f t="shared" si="0"/>
        <v>0.20788608981380063</v>
      </c>
      <c r="J60" s="3">
        <f t="shared" si="1"/>
        <v>0.20788608981380063</v>
      </c>
      <c r="K60" s="4">
        <f t="shared" si="2"/>
        <v>0.20788608981380063</v>
      </c>
    </row>
    <row r="61" spans="1:11">
      <c r="A61" s="2" t="s">
        <v>139</v>
      </c>
      <c r="B61" s="3" t="s">
        <v>140</v>
      </c>
      <c r="C61" s="8">
        <v>28</v>
      </c>
      <c r="D61" s="8" t="s">
        <v>13</v>
      </c>
      <c r="E61" s="3">
        <v>1</v>
      </c>
      <c r="F61" s="3" t="s">
        <v>14</v>
      </c>
      <c r="G61" s="8">
        <v>1</v>
      </c>
      <c r="H61" s="3">
        <v>5.8000000000000003E-2</v>
      </c>
      <c r="I61" s="8">
        <f t="shared" si="0"/>
        <v>-8.1270536692223436E-2</v>
      </c>
      <c r="J61" s="3">
        <f t="shared" si="1"/>
        <v>-8.1270536692223436E-2</v>
      </c>
      <c r="K61" s="4">
        <f t="shared" si="2"/>
        <v>0</v>
      </c>
    </row>
    <row r="62" spans="1:11">
      <c r="A62" s="2" t="s">
        <v>141</v>
      </c>
      <c r="B62" s="3" t="s">
        <v>142</v>
      </c>
      <c r="C62" s="8">
        <v>28</v>
      </c>
      <c r="D62" s="8" t="s">
        <v>13</v>
      </c>
      <c r="E62" s="3">
        <v>1</v>
      </c>
      <c r="F62" s="3" t="s">
        <v>14</v>
      </c>
      <c r="G62" s="8">
        <v>2</v>
      </c>
      <c r="H62" s="3">
        <v>5.1999999999999998E-2</v>
      </c>
      <c r="I62" s="8">
        <f t="shared" si="0"/>
        <v>-9.4414019715224548E-2</v>
      </c>
      <c r="J62" s="3">
        <f t="shared" si="1"/>
        <v>-9.4414019715224548E-2</v>
      </c>
      <c r="K62" s="4">
        <f t="shared" si="2"/>
        <v>0</v>
      </c>
    </row>
    <row r="63" spans="1:11">
      <c r="A63" s="2" t="s">
        <v>143</v>
      </c>
      <c r="B63" s="3" t="s">
        <v>144</v>
      </c>
      <c r="C63" s="8">
        <v>28</v>
      </c>
      <c r="D63" s="8" t="s">
        <v>13</v>
      </c>
      <c r="E63" s="3">
        <v>1</v>
      </c>
      <c r="F63" s="3" t="s">
        <v>14</v>
      </c>
      <c r="G63" s="8">
        <v>3</v>
      </c>
      <c r="H63" s="3">
        <v>5.2999999999999999E-2</v>
      </c>
      <c r="I63" s="8">
        <f t="shared" si="0"/>
        <v>-9.2223439211391034E-2</v>
      </c>
      <c r="J63" s="3">
        <f t="shared" si="1"/>
        <v>-9.2223439211391034E-2</v>
      </c>
      <c r="K63" s="4">
        <f t="shared" si="2"/>
        <v>0</v>
      </c>
    </row>
    <row r="64" spans="1:11">
      <c r="A64" s="2" t="s">
        <v>145</v>
      </c>
      <c r="B64" s="3" t="s">
        <v>146</v>
      </c>
      <c r="C64" s="8">
        <v>28</v>
      </c>
      <c r="D64" s="8" t="s">
        <v>21</v>
      </c>
      <c r="E64" s="3">
        <v>1</v>
      </c>
      <c r="F64" s="3" t="s">
        <v>22</v>
      </c>
      <c r="G64" s="8">
        <v>1</v>
      </c>
      <c r="H64" s="3">
        <v>0.309</v>
      </c>
      <c r="I64" s="8">
        <f t="shared" si="0"/>
        <v>0.46856516976998897</v>
      </c>
      <c r="J64" s="3">
        <f t="shared" si="1"/>
        <v>0.46856516976998897</v>
      </c>
      <c r="K64" s="4">
        <f t="shared" si="2"/>
        <v>0.46856516976998897</v>
      </c>
    </row>
    <row r="65" spans="1:11">
      <c r="A65" s="2" t="s">
        <v>147</v>
      </c>
      <c r="B65" s="3" t="s">
        <v>148</v>
      </c>
      <c r="C65" s="8">
        <v>28</v>
      </c>
      <c r="D65" s="8" t="s">
        <v>21</v>
      </c>
      <c r="E65" s="3">
        <v>1</v>
      </c>
      <c r="F65" s="3" t="s">
        <v>22</v>
      </c>
      <c r="G65" s="8">
        <v>2</v>
      </c>
      <c r="H65" s="3">
        <v>0.25</v>
      </c>
      <c r="I65" s="8">
        <f t="shared" ref="I65:I128" si="3">(H65-0.0951)/0.4565</f>
        <v>0.33932092004381154</v>
      </c>
      <c r="J65" s="3">
        <f t="shared" si="1"/>
        <v>0.33932092004381154</v>
      </c>
      <c r="K65" s="4">
        <f t="shared" si="2"/>
        <v>0.33932092004381154</v>
      </c>
    </row>
    <row r="66" spans="1:11">
      <c r="A66" s="2" t="s">
        <v>149</v>
      </c>
      <c r="B66" s="3" t="s">
        <v>150</v>
      </c>
      <c r="C66" s="8">
        <v>28</v>
      </c>
      <c r="D66" s="8" t="s">
        <v>21</v>
      </c>
      <c r="E66" s="3">
        <v>1</v>
      </c>
      <c r="F66" s="3" t="s">
        <v>22</v>
      </c>
      <c r="G66" s="8">
        <v>3</v>
      </c>
      <c r="H66" s="3">
        <v>0.30299999999999999</v>
      </c>
      <c r="I66" s="8">
        <f t="shared" si="3"/>
        <v>0.45542168674698785</v>
      </c>
      <c r="J66" s="3">
        <f t="shared" ref="J66:J129" si="4">I66*E66</f>
        <v>0.45542168674698785</v>
      </c>
      <c r="K66" s="4">
        <f t="shared" ref="K66:K129" si="5">IF(J66 &lt; 0, 0, J66)</f>
        <v>0.45542168674698785</v>
      </c>
    </row>
    <row r="67" spans="1:11">
      <c r="A67" s="2" t="s">
        <v>151</v>
      </c>
      <c r="B67" s="3" t="s">
        <v>152</v>
      </c>
      <c r="C67" s="8">
        <v>28</v>
      </c>
      <c r="D67" s="8" t="s">
        <v>29</v>
      </c>
      <c r="E67" s="3">
        <v>1</v>
      </c>
      <c r="F67" s="3" t="s">
        <v>30</v>
      </c>
      <c r="G67" s="8">
        <v>1</v>
      </c>
      <c r="H67" s="3">
        <v>6.7000000000000004E-2</v>
      </c>
      <c r="I67" s="8">
        <f t="shared" si="3"/>
        <v>-6.1555312157721795E-2</v>
      </c>
      <c r="J67" s="3">
        <f t="shared" si="4"/>
        <v>-6.1555312157721795E-2</v>
      </c>
      <c r="K67" s="4">
        <f t="shared" si="5"/>
        <v>0</v>
      </c>
    </row>
    <row r="68" spans="1:11">
      <c r="A68" s="2" t="s">
        <v>153</v>
      </c>
      <c r="B68" s="3" t="s">
        <v>154</v>
      </c>
      <c r="C68" s="8">
        <v>28</v>
      </c>
      <c r="D68" s="8" t="s">
        <v>29</v>
      </c>
      <c r="E68" s="3">
        <v>1</v>
      </c>
      <c r="F68" s="3" t="s">
        <v>30</v>
      </c>
      <c r="G68" s="8">
        <v>2</v>
      </c>
      <c r="H68" s="3">
        <v>7.5999999999999998E-2</v>
      </c>
      <c r="I68" s="8">
        <f t="shared" si="3"/>
        <v>-4.1840087623220168E-2</v>
      </c>
      <c r="J68" s="3">
        <f t="shared" si="4"/>
        <v>-4.1840087623220168E-2</v>
      </c>
      <c r="K68" s="4">
        <f t="shared" si="5"/>
        <v>0</v>
      </c>
    </row>
    <row r="69" spans="1:11">
      <c r="A69" s="2" t="s">
        <v>155</v>
      </c>
      <c r="B69" s="3" t="s">
        <v>156</v>
      </c>
      <c r="C69" s="8">
        <v>28</v>
      </c>
      <c r="D69" s="8" t="s">
        <v>29</v>
      </c>
      <c r="E69" s="3">
        <v>1</v>
      </c>
      <c r="F69" s="3" t="s">
        <v>30</v>
      </c>
      <c r="G69" s="8">
        <v>3</v>
      </c>
      <c r="H69" s="3">
        <v>0.11</v>
      </c>
      <c r="I69" s="8">
        <f t="shared" si="3"/>
        <v>3.2639649507119381E-2</v>
      </c>
      <c r="J69" s="3">
        <f t="shared" si="4"/>
        <v>3.2639649507119381E-2</v>
      </c>
      <c r="K69" s="4">
        <f t="shared" si="5"/>
        <v>3.2639649507119381E-2</v>
      </c>
    </row>
    <row r="70" spans="1:11">
      <c r="A70" s="2" t="s">
        <v>157</v>
      </c>
      <c r="B70" s="3" t="s">
        <v>158</v>
      </c>
      <c r="C70" s="8">
        <v>28</v>
      </c>
      <c r="D70" s="8" t="s">
        <v>37</v>
      </c>
      <c r="E70" s="3">
        <v>1</v>
      </c>
      <c r="F70" s="3" t="s">
        <v>38</v>
      </c>
      <c r="G70" s="8">
        <v>1</v>
      </c>
      <c r="H70" s="3">
        <v>0.73</v>
      </c>
      <c r="I70" s="8">
        <f t="shared" si="3"/>
        <v>1.3907995618838993</v>
      </c>
      <c r="J70" s="3">
        <f t="shared" si="4"/>
        <v>1.3907995618838993</v>
      </c>
      <c r="K70" s="4">
        <f t="shared" si="5"/>
        <v>1.3907995618838993</v>
      </c>
    </row>
    <row r="71" spans="1:11">
      <c r="A71" s="2" t="s">
        <v>159</v>
      </c>
      <c r="B71" s="3" t="s">
        <v>160</v>
      </c>
      <c r="C71" s="8">
        <v>28</v>
      </c>
      <c r="D71" s="8" t="s">
        <v>37</v>
      </c>
      <c r="E71" s="3">
        <v>1</v>
      </c>
      <c r="F71" s="3" t="s">
        <v>38</v>
      </c>
      <c r="G71" s="8">
        <v>2</v>
      </c>
      <c r="H71" s="3">
        <v>0.60799999999999998</v>
      </c>
      <c r="I71" s="8">
        <f t="shared" si="3"/>
        <v>1.1235487404162103</v>
      </c>
      <c r="J71" s="3">
        <f t="shared" si="4"/>
        <v>1.1235487404162103</v>
      </c>
      <c r="K71" s="4">
        <f t="shared" si="5"/>
        <v>1.1235487404162103</v>
      </c>
    </row>
    <row r="72" spans="1:11">
      <c r="A72" s="2" t="s">
        <v>161</v>
      </c>
      <c r="B72" s="3" t="s">
        <v>162</v>
      </c>
      <c r="C72" s="8">
        <v>28</v>
      </c>
      <c r="D72" s="8" t="s">
        <v>37</v>
      </c>
      <c r="E72" s="3">
        <v>1</v>
      </c>
      <c r="F72" s="3" t="s">
        <v>38</v>
      </c>
      <c r="G72" s="8">
        <v>3</v>
      </c>
      <c r="H72" s="3">
        <v>0.72899999999999998</v>
      </c>
      <c r="I72" s="8">
        <f t="shared" si="3"/>
        <v>1.3886089813800657</v>
      </c>
      <c r="J72" s="3">
        <f t="shared" si="4"/>
        <v>1.3886089813800657</v>
      </c>
      <c r="K72" s="4">
        <f t="shared" si="5"/>
        <v>1.3886089813800657</v>
      </c>
    </row>
    <row r="73" spans="1:11">
      <c r="A73" s="2" t="s">
        <v>163</v>
      </c>
      <c r="B73" s="3" t="s">
        <v>164</v>
      </c>
      <c r="C73" s="8">
        <v>28</v>
      </c>
      <c r="D73" s="8" t="s">
        <v>45</v>
      </c>
      <c r="E73" s="3">
        <v>1</v>
      </c>
      <c r="F73" s="3" t="s">
        <v>46</v>
      </c>
      <c r="G73" s="8">
        <v>1</v>
      </c>
      <c r="H73" s="3">
        <v>0.2</v>
      </c>
      <c r="I73" s="8">
        <f t="shared" si="3"/>
        <v>0.22979189485213583</v>
      </c>
      <c r="J73" s="3">
        <f t="shared" si="4"/>
        <v>0.22979189485213583</v>
      </c>
      <c r="K73" s="4">
        <f t="shared" si="5"/>
        <v>0.22979189485213583</v>
      </c>
    </row>
    <row r="74" spans="1:11">
      <c r="A74" s="2" t="s">
        <v>165</v>
      </c>
      <c r="B74" s="3" t="s">
        <v>166</v>
      </c>
      <c r="C74" s="8">
        <v>28</v>
      </c>
      <c r="D74" s="8" t="s">
        <v>45</v>
      </c>
      <c r="E74" s="3">
        <v>1</v>
      </c>
      <c r="F74" s="3" t="s">
        <v>46</v>
      </c>
      <c r="G74" s="8">
        <v>2</v>
      </c>
      <c r="H74" s="3">
        <v>0.26700000000000002</v>
      </c>
      <c r="I74" s="8">
        <f t="shared" si="3"/>
        <v>0.37656078860898134</v>
      </c>
      <c r="J74" s="3">
        <f t="shared" si="4"/>
        <v>0.37656078860898134</v>
      </c>
      <c r="K74" s="4">
        <f t="shared" si="5"/>
        <v>0.37656078860898134</v>
      </c>
    </row>
    <row r="75" spans="1:11">
      <c r="A75" s="2" t="s">
        <v>167</v>
      </c>
      <c r="B75" s="3" t="s">
        <v>168</v>
      </c>
      <c r="C75" s="8">
        <v>28</v>
      </c>
      <c r="D75" s="8" t="s">
        <v>45</v>
      </c>
      <c r="E75" s="3">
        <v>1</v>
      </c>
      <c r="F75" s="3" t="s">
        <v>46</v>
      </c>
      <c r="G75" s="8">
        <v>3</v>
      </c>
      <c r="H75" s="3">
        <v>0.14099999999999999</v>
      </c>
      <c r="I75" s="8">
        <f t="shared" si="3"/>
        <v>0.10054764512595833</v>
      </c>
      <c r="J75" s="3">
        <f t="shared" si="4"/>
        <v>0.10054764512595833</v>
      </c>
      <c r="K75" s="4">
        <f t="shared" si="5"/>
        <v>0.10054764512595833</v>
      </c>
    </row>
    <row r="76" spans="1:11">
      <c r="A76" s="2" t="s">
        <v>169</v>
      </c>
      <c r="B76" s="3" t="s">
        <v>170</v>
      </c>
      <c r="C76" s="8">
        <v>36</v>
      </c>
      <c r="D76" s="8" t="s">
        <v>13</v>
      </c>
      <c r="E76" s="3">
        <v>1</v>
      </c>
      <c r="F76" s="3" t="s">
        <v>14</v>
      </c>
      <c r="G76" s="8">
        <v>1</v>
      </c>
      <c r="H76" s="3">
        <v>5.7000000000000002E-2</v>
      </c>
      <c r="I76" s="8">
        <f t="shared" si="3"/>
        <v>-8.346111719605695E-2</v>
      </c>
      <c r="J76" s="3">
        <f t="shared" si="4"/>
        <v>-8.346111719605695E-2</v>
      </c>
      <c r="K76" s="4">
        <f t="shared" si="5"/>
        <v>0</v>
      </c>
    </row>
    <row r="77" spans="1:11">
      <c r="A77" s="2" t="s">
        <v>171</v>
      </c>
      <c r="B77" s="3" t="s">
        <v>172</v>
      </c>
      <c r="C77" s="8">
        <v>36</v>
      </c>
      <c r="D77" s="8" t="s">
        <v>13</v>
      </c>
      <c r="E77" s="3">
        <v>1</v>
      </c>
      <c r="F77" s="3" t="s">
        <v>14</v>
      </c>
      <c r="G77" s="8">
        <v>2</v>
      </c>
      <c r="H77" s="3">
        <v>5.7000000000000002E-2</v>
      </c>
      <c r="I77" s="8">
        <f t="shared" si="3"/>
        <v>-8.346111719605695E-2</v>
      </c>
      <c r="J77" s="3">
        <f t="shared" si="4"/>
        <v>-8.346111719605695E-2</v>
      </c>
      <c r="K77" s="4">
        <f t="shared" si="5"/>
        <v>0</v>
      </c>
    </row>
    <row r="78" spans="1:11">
      <c r="A78" s="2" t="s">
        <v>173</v>
      </c>
      <c r="B78" s="3" t="s">
        <v>174</v>
      </c>
      <c r="C78" s="8">
        <v>36</v>
      </c>
      <c r="D78" s="8" t="s">
        <v>13</v>
      </c>
      <c r="E78" s="3">
        <v>1</v>
      </c>
      <c r="F78" s="3" t="s">
        <v>14</v>
      </c>
      <c r="G78" s="8">
        <v>3</v>
      </c>
      <c r="H78" s="3">
        <v>5.3999999999999999E-2</v>
      </c>
      <c r="I78" s="8">
        <f t="shared" si="3"/>
        <v>-9.0032858707557506E-2</v>
      </c>
      <c r="J78" s="3">
        <f t="shared" si="4"/>
        <v>-9.0032858707557506E-2</v>
      </c>
      <c r="K78" s="4">
        <f t="shared" si="5"/>
        <v>0</v>
      </c>
    </row>
    <row r="79" spans="1:11">
      <c r="A79" s="2" t="s">
        <v>175</v>
      </c>
      <c r="B79" s="3" t="s">
        <v>176</v>
      </c>
      <c r="C79" s="8">
        <v>36</v>
      </c>
      <c r="D79" s="8" t="s">
        <v>21</v>
      </c>
      <c r="E79" s="3">
        <v>1</v>
      </c>
      <c r="F79" s="3" t="s">
        <v>22</v>
      </c>
      <c r="G79" s="8">
        <v>1</v>
      </c>
      <c r="H79" s="3">
        <v>0.26</v>
      </c>
      <c r="I79" s="8">
        <f t="shared" si="3"/>
        <v>0.36122672508214676</v>
      </c>
      <c r="J79" s="3">
        <f t="shared" si="4"/>
        <v>0.36122672508214676</v>
      </c>
      <c r="K79" s="4">
        <f t="shared" si="5"/>
        <v>0.36122672508214676</v>
      </c>
    </row>
    <row r="80" spans="1:11">
      <c r="A80" s="2" t="s">
        <v>177</v>
      </c>
      <c r="B80" s="3" t="s">
        <v>178</v>
      </c>
      <c r="C80" s="8">
        <v>36</v>
      </c>
      <c r="D80" s="8" t="s">
        <v>21</v>
      </c>
      <c r="E80" s="3">
        <v>1</v>
      </c>
      <c r="F80" s="3" t="s">
        <v>22</v>
      </c>
      <c r="G80" s="8">
        <v>2</v>
      </c>
      <c r="H80" s="3">
        <v>0.20799999999999999</v>
      </c>
      <c r="I80" s="8">
        <f t="shared" si="3"/>
        <v>0.24731653888280392</v>
      </c>
      <c r="J80" s="3">
        <f t="shared" si="4"/>
        <v>0.24731653888280392</v>
      </c>
      <c r="K80" s="4">
        <f t="shared" si="5"/>
        <v>0.24731653888280392</v>
      </c>
    </row>
    <row r="81" spans="1:11">
      <c r="A81" s="2" t="s">
        <v>179</v>
      </c>
      <c r="B81" s="3" t="s">
        <v>180</v>
      </c>
      <c r="C81" s="8">
        <v>36</v>
      </c>
      <c r="D81" s="8" t="s">
        <v>21</v>
      </c>
      <c r="E81" s="3">
        <v>1</v>
      </c>
      <c r="F81" s="3" t="s">
        <v>22</v>
      </c>
      <c r="G81" s="8">
        <v>3</v>
      </c>
      <c r="H81" s="3">
        <v>0.23400000000000001</v>
      </c>
      <c r="I81" s="8">
        <f t="shared" si="3"/>
        <v>0.30427163198247542</v>
      </c>
      <c r="J81" s="3">
        <f t="shared" si="4"/>
        <v>0.30427163198247542</v>
      </c>
      <c r="K81" s="4">
        <f t="shared" si="5"/>
        <v>0.30427163198247542</v>
      </c>
    </row>
    <row r="82" spans="1:11">
      <c r="A82" s="2" t="s">
        <v>181</v>
      </c>
      <c r="B82" s="3" t="s">
        <v>182</v>
      </c>
      <c r="C82" s="8">
        <v>36</v>
      </c>
      <c r="D82" s="8" t="s">
        <v>29</v>
      </c>
      <c r="E82" s="3">
        <v>1</v>
      </c>
      <c r="F82" s="3" t="s">
        <v>30</v>
      </c>
      <c r="G82" s="8">
        <v>1</v>
      </c>
      <c r="H82" s="3">
        <v>6.8000000000000005E-2</v>
      </c>
      <c r="I82" s="8">
        <f t="shared" si="3"/>
        <v>-5.9364731653888274E-2</v>
      </c>
      <c r="J82" s="3">
        <f t="shared" si="4"/>
        <v>-5.9364731653888274E-2</v>
      </c>
      <c r="K82" s="4">
        <f t="shared" si="5"/>
        <v>0</v>
      </c>
    </row>
    <row r="83" spans="1:11">
      <c r="A83" s="2" t="s">
        <v>183</v>
      </c>
      <c r="B83" s="3" t="s">
        <v>184</v>
      </c>
      <c r="C83" s="8">
        <v>36</v>
      </c>
      <c r="D83" s="8" t="s">
        <v>29</v>
      </c>
      <c r="E83" s="3">
        <v>1</v>
      </c>
      <c r="F83" s="3" t="s">
        <v>30</v>
      </c>
      <c r="G83" s="8">
        <v>2</v>
      </c>
      <c r="H83" s="3">
        <v>6.3E-2</v>
      </c>
      <c r="I83" s="8">
        <f t="shared" si="3"/>
        <v>-7.0317634173055865E-2</v>
      </c>
      <c r="J83" s="3">
        <f t="shared" si="4"/>
        <v>-7.0317634173055865E-2</v>
      </c>
      <c r="K83" s="4">
        <f t="shared" si="5"/>
        <v>0</v>
      </c>
    </row>
    <row r="84" spans="1:11">
      <c r="A84" s="2" t="s">
        <v>185</v>
      </c>
      <c r="B84" s="3" t="s">
        <v>186</v>
      </c>
      <c r="C84" s="8">
        <v>36</v>
      </c>
      <c r="D84" s="8" t="s">
        <v>29</v>
      </c>
      <c r="E84" s="3">
        <v>1</v>
      </c>
      <c r="F84" s="3" t="s">
        <v>30</v>
      </c>
      <c r="G84" s="8">
        <v>3</v>
      </c>
      <c r="H84" s="3">
        <v>0.108</v>
      </c>
      <c r="I84" s="8">
        <f t="shared" si="3"/>
        <v>2.8258488499452342E-2</v>
      </c>
      <c r="J84" s="3">
        <f t="shared" si="4"/>
        <v>2.8258488499452342E-2</v>
      </c>
      <c r="K84" s="4">
        <f t="shared" si="5"/>
        <v>2.8258488499452342E-2</v>
      </c>
    </row>
    <row r="85" spans="1:11">
      <c r="A85" s="2" t="s">
        <v>187</v>
      </c>
      <c r="B85" s="3" t="s">
        <v>188</v>
      </c>
      <c r="C85" s="8">
        <v>36</v>
      </c>
      <c r="D85" s="8" t="s">
        <v>37</v>
      </c>
      <c r="E85" s="3">
        <v>1</v>
      </c>
      <c r="F85" s="3" t="s">
        <v>38</v>
      </c>
      <c r="G85" s="8">
        <v>1</v>
      </c>
      <c r="H85" s="3">
        <v>0.8</v>
      </c>
      <c r="I85" s="8">
        <f t="shared" si="3"/>
        <v>1.5441401971522455</v>
      </c>
      <c r="J85" s="3">
        <f t="shared" si="4"/>
        <v>1.5441401971522455</v>
      </c>
      <c r="K85" s="4">
        <f t="shared" si="5"/>
        <v>1.5441401971522455</v>
      </c>
    </row>
    <row r="86" spans="1:11">
      <c r="A86" s="2" t="s">
        <v>189</v>
      </c>
      <c r="B86" s="3" t="s">
        <v>190</v>
      </c>
      <c r="C86" s="8">
        <v>36</v>
      </c>
      <c r="D86" s="8" t="s">
        <v>37</v>
      </c>
      <c r="E86" s="3">
        <v>1</v>
      </c>
      <c r="F86" s="3" t="s">
        <v>38</v>
      </c>
      <c r="G86" s="8">
        <v>2</v>
      </c>
      <c r="H86" s="3">
        <v>0.88600000000000001</v>
      </c>
      <c r="I86" s="8">
        <f t="shared" si="3"/>
        <v>1.7325301204819277</v>
      </c>
      <c r="J86" s="3">
        <f t="shared" si="4"/>
        <v>1.7325301204819277</v>
      </c>
      <c r="K86" s="4">
        <f t="shared" si="5"/>
        <v>1.7325301204819277</v>
      </c>
    </row>
    <row r="87" spans="1:11">
      <c r="A87" s="2" t="s">
        <v>191</v>
      </c>
      <c r="B87" s="3" t="s">
        <v>192</v>
      </c>
      <c r="C87" s="8">
        <v>36</v>
      </c>
      <c r="D87" s="8" t="s">
        <v>37</v>
      </c>
      <c r="E87" s="3">
        <v>1</v>
      </c>
      <c r="F87" s="3" t="s">
        <v>38</v>
      </c>
      <c r="G87" s="8">
        <v>3</v>
      </c>
      <c r="H87" s="3">
        <v>0.61399999999999999</v>
      </c>
      <c r="I87" s="8">
        <f t="shared" si="3"/>
        <v>1.1366922234392114</v>
      </c>
      <c r="J87" s="3">
        <f t="shared" si="4"/>
        <v>1.1366922234392114</v>
      </c>
      <c r="K87" s="4">
        <f t="shared" si="5"/>
        <v>1.1366922234392114</v>
      </c>
    </row>
    <row r="88" spans="1:11">
      <c r="A88" s="2" t="s">
        <v>193</v>
      </c>
      <c r="B88" s="3" t="s">
        <v>194</v>
      </c>
      <c r="C88" s="8">
        <v>36</v>
      </c>
      <c r="D88" s="8" t="s">
        <v>45</v>
      </c>
      <c r="E88" s="3">
        <v>1</v>
      </c>
      <c r="F88" s="3" t="s">
        <v>46</v>
      </c>
      <c r="G88" s="8">
        <v>1</v>
      </c>
      <c r="H88" s="3">
        <v>0.26</v>
      </c>
      <c r="I88" s="8">
        <f t="shared" si="3"/>
        <v>0.36122672508214676</v>
      </c>
      <c r="J88" s="3">
        <f t="shared" si="4"/>
        <v>0.36122672508214676</v>
      </c>
      <c r="K88" s="4">
        <f t="shared" si="5"/>
        <v>0.36122672508214676</v>
      </c>
    </row>
    <row r="89" spans="1:11">
      <c r="A89" s="2" t="s">
        <v>195</v>
      </c>
      <c r="B89" s="3" t="s">
        <v>196</v>
      </c>
      <c r="C89" s="8">
        <v>36</v>
      </c>
      <c r="D89" s="8" t="s">
        <v>45</v>
      </c>
      <c r="E89" s="3">
        <v>1</v>
      </c>
      <c r="F89" s="3" t="s">
        <v>46</v>
      </c>
      <c r="G89" s="8">
        <v>2</v>
      </c>
      <c r="H89" s="3">
        <v>0.104</v>
      </c>
      <c r="I89" s="8">
        <f t="shared" si="3"/>
        <v>1.9496166484118272E-2</v>
      </c>
      <c r="J89" s="3">
        <f t="shared" si="4"/>
        <v>1.9496166484118272E-2</v>
      </c>
      <c r="K89" s="4">
        <f t="shared" si="5"/>
        <v>1.9496166484118272E-2</v>
      </c>
    </row>
    <row r="90" spans="1:11">
      <c r="A90" s="2" t="s">
        <v>197</v>
      </c>
      <c r="B90" s="3" t="s">
        <v>198</v>
      </c>
      <c r="C90" s="8">
        <v>36</v>
      </c>
      <c r="D90" s="8" t="s">
        <v>45</v>
      </c>
      <c r="E90" s="3">
        <v>1</v>
      </c>
      <c r="F90" s="3" t="s">
        <v>46</v>
      </c>
      <c r="G90" s="8">
        <v>3</v>
      </c>
      <c r="H90" s="3">
        <v>0.23400000000000001</v>
      </c>
      <c r="I90" s="8">
        <f t="shared" si="3"/>
        <v>0.30427163198247542</v>
      </c>
      <c r="J90" s="3">
        <f t="shared" si="4"/>
        <v>0.30427163198247542</v>
      </c>
      <c r="K90" s="4">
        <f t="shared" si="5"/>
        <v>0.30427163198247542</v>
      </c>
    </row>
    <row r="91" spans="1:11">
      <c r="A91" s="2" t="s">
        <v>199</v>
      </c>
      <c r="B91" s="3" t="s">
        <v>200</v>
      </c>
      <c r="C91" s="8">
        <v>44</v>
      </c>
      <c r="D91" s="8" t="s">
        <v>13</v>
      </c>
      <c r="E91" s="3">
        <v>1</v>
      </c>
      <c r="F91" s="3" t="s">
        <v>14</v>
      </c>
      <c r="G91" s="8">
        <v>1</v>
      </c>
      <c r="H91" s="3">
        <v>5.1999999999999998E-2</v>
      </c>
      <c r="I91" s="8">
        <f t="shared" si="3"/>
        <v>-9.4414019715224548E-2</v>
      </c>
      <c r="J91" s="3">
        <f t="shared" si="4"/>
        <v>-9.4414019715224548E-2</v>
      </c>
      <c r="K91" s="4">
        <f t="shared" si="5"/>
        <v>0</v>
      </c>
    </row>
    <row r="92" spans="1:11">
      <c r="A92" s="2" t="s">
        <v>201</v>
      </c>
      <c r="B92" s="3" t="s">
        <v>202</v>
      </c>
      <c r="C92" s="8">
        <v>44</v>
      </c>
      <c r="D92" s="8" t="s">
        <v>13</v>
      </c>
      <c r="E92" s="3">
        <v>1</v>
      </c>
      <c r="F92" s="3" t="s">
        <v>14</v>
      </c>
      <c r="G92" s="8">
        <v>2</v>
      </c>
      <c r="H92" s="3">
        <v>5.2999999999999999E-2</v>
      </c>
      <c r="I92" s="8">
        <f t="shared" si="3"/>
        <v>-9.2223439211391034E-2</v>
      </c>
      <c r="J92" s="3">
        <f t="shared" si="4"/>
        <v>-9.2223439211391034E-2</v>
      </c>
      <c r="K92" s="4">
        <f t="shared" si="5"/>
        <v>0</v>
      </c>
    </row>
    <row r="93" spans="1:11">
      <c r="A93" s="2" t="s">
        <v>203</v>
      </c>
      <c r="B93" s="3" t="s">
        <v>204</v>
      </c>
      <c r="C93" s="8">
        <v>44</v>
      </c>
      <c r="D93" s="8" t="s">
        <v>13</v>
      </c>
      <c r="E93" s="3">
        <v>1</v>
      </c>
      <c r="F93" s="3" t="s">
        <v>14</v>
      </c>
      <c r="G93" s="8">
        <v>3</v>
      </c>
      <c r="H93" s="3">
        <v>0.05</v>
      </c>
      <c r="I93" s="8">
        <f t="shared" si="3"/>
        <v>-9.8795180722891562E-2</v>
      </c>
      <c r="J93" s="3">
        <f t="shared" si="4"/>
        <v>-9.8795180722891562E-2</v>
      </c>
      <c r="K93" s="4">
        <f t="shared" si="5"/>
        <v>0</v>
      </c>
    </row>
    <row r="94" spans="1:11">
      <c r="A94" s="2" t="s">
        <v>205</v>
      </c>
      <c r="B94" s="3" t="s">
        <v>206</v>
      </c>
      <c r="C94" s="8">
        <v>44</v>
      </c>
      <c r="D94" s="8" t="s">
        <v>21</v>
      </c>
      <c r="E94" s="3">
        <v>1</v>
      </c>
      <c r="F94" s="3" t="s">
        <v>22</v>
      </c>
      <c r="G94" s="8">
        <v>1</v>
      </c>
      <c r="H94" s="3">
        <v>0.23899999999999999</v>
      </c>
      <c r="I94" s="8">
        <f t="shared" si="3"/>
        <v>0.31522453450164284</v>
      </c>
      <c r="J94" s="3">
        <f t="shared" si="4"/>
        <v>0.31522453450164284</v>
      </c>
      <c r="K94" s="4">
        <f t="shared" si="5"/>
        <v>0.31522453450164284</v>
      </c>
    </row>
    <row r="95" spans="1:11">
      <c r="A95" s="2" t="s">
        <v>207</v>
      </c>
      <c r="B95" s="3" t="s">
        <v>208</v>
      </c>
      <c r="C95" s="8">
        <v>44</v>
      </c>
      <c r="D95" s="8" t="s">
        <v>21</v>
      </c>
      <c r="E95" s="3">
        <v>1</v>
      </c>
      <c r="F95" s="3" t="s">
        <v>22</v>
      </c>
      <c r="G95" s="8">
        <v>2</v>
      </c>
      <c r="H95" s="3">
        <v>0.24199999999999999</v>
      </c>
      <c r="I95" s="8">
        <f t="shared" si="3"/>
        <v>0.32179627601314342</v>
      </c>
      <c r="J95" s="3">
        <f t="shared" si="4"/>
        <v>0.32179627601314342</v>
      </c>
      <c r="K95" s="4">
        <f t="shared" si="5"/>
        <v>0.32179627601314342</v>
      </c>
    </row>
    <row r="96" spans="1:11">
      <c r="A96" s="2" t="s">
        <v>209</v>
      </c>
      <c r="B96" s="3" t="s">
        <v>210</v>
      </c>
      <c r="C96" s="8">
        <v>44</v>
      </c>
      <c r="D96" s="8" t="s">
        <v>21</v>
      </c>
      <c r="E96" s="3">
        <v>1</v>
      </c>
      <c r="F96" s="3" t="s">
        <v>22</v>
      </c>
      <c r="G96" s="8">
        <v>3</v>
      </c>
      <c r="H96" s="3">
        <v>0.185</v>
      </c>
      <c r="I96" s="8">
        <f t="shared" si="3"/>
        <v>0.19693318729463305</v>
      </c>
      <c r="J96" s="3">
        <f t="shared" si="4"/>
        <v>0.19693318729463305</v>
      </c>
      <c r="K96" s="4">
        <f t="shared" si="5"/>
        <v>0.19693318729463305</v>
      </c>
    </row>
    <row r="97" spans="1:19">
      <c r="A97" s="2" t="s">
        <v>211</v>
      </c>
      <c r="B97" s="3" t="s">
        <v>212</v>
      </c>
      <c r="C97" s="8">
        <v>44</v>
      </c>
      <c r="D97" s="8" t="s">
        <v>29</v>
      </c>
      <c r="E97" s="3">
        <v>1</v>
      </c>
      <c r="F97" s="3" t="s">
        <v>30</v>
      </c>
      <c r="G97" s="8">
        <v>1</v>
      </c>
      <c r="H97" s="3">
        <v>7.0999999999999994E-2</v>
      </c>
      <c r="I97" s="8">
        <f t="shared" si="3"/>
        <v>-5.2792990142387752E-2</v>
      </c>
      <c r="J97" s="3">
        <f t="shared" si="4"/>
        <v>-5.2792990142387752E-2</v>
      </c>
      <c r="K97" s="4">
        <f t="shared" si="5"/>
        <v>0</v>
      </c>
      <c r="L97" s="5"/>
      <c r="M97" s="5"/>
      <c r="N97" s="5"/>
      <c r="O97" s="5"/>
      <c r="P97" s="5"/>
      <c r="Q97" s="5"/>
      <c r="R97" s="5"/>
      <c r="S97" s="5"/>
    </row>
    <row r="98" spans="1:19">
      <c r="A98" s="2" t="s">
        <v>213</v>
      </c>
      <c r="B98" s="3" t="s">
        <v>214</v>
      </c>
      <c r="C98" s="8">
        <v>44</v>
      </c>
      <c r="D98" s="8" t="s">
        <v>29</v>
      </c>
      <c r="E98" s="3">
        <v>1</v>
      </c>
      <c r="F98" s="3" t="s">
        <v>30</v>
      </c>
      <c r="G98" s="8">
        <v>2</v>
      </c>
      <c r="H98" s="3">
        <v>7.9000000000000001E-2</v>
      </c>
      <c r="I98" s="8">
        <f t="shared" si="3"/>
        <v>-3.5268346111719612E-2</v>
      </c>
      <c r="J98" s="3">
        <f t="shared" si="4"/>
        <v>-3.5268346111719612E-2</v>
      </c>
      <c r="K98" s="4">
        <f t="shared" si="5"/>
        <v>0</v>
      </c>
      <c r="L98" s="4"/>
      <c r="M98" s="4"/>
      <c r="N98" s="4"/>
      <c r="O98" s="4"/>
      <c r="P98" s="4"/>
      <c r="Q98" s="4"/>
      <c r="R98" s="4"/>
      <c r="S98" s="4"/>
    </row>
    <row r="99" spans="1:19">
      <c r="A99" s="2" t="s">
        <v>215</v>
      </c>
      <c r="B99" s="3" t="s">
        <v>216</v>
      </c>
      <c r="C99" s="8">
        <v>44</v>
      </c>
      <c r="D99" s="8" t="s">
        <v>29</v>
      </c>
      <c r="E99" s="3">
        <v>1</v>
      </c>
      <c r="F99" s="3" t="s">
        <v>30</v>
      </c>
      <c r="G99" s="8">
        <v>3</v>
      </c>
      <c r="H99" s="3">
        <v>9.4E-2</v>
      </c>
      <c r="I99" s="8">
        <f t="shared" si="3"/>
        <v>-2.4096385542168755E-3</v>
      </c>
      <c r="J99" s="3">
        <f t="shared" si="4"/>
        <v>-2.4096385542168755E-3</v>
      </c>
      <c r="K99" s="4">
        <f t="shared" si="5"/>
        <v>0</v>
      </c>
      <c r="L99" s="4"/>
      <c r="M99" s="4"/>
      <c r="N99" s="4"/>
      <c r="O99" s="4"/>
      <c r="P99" s="4"/>
      <c r="Q99" s="4"/>
      <c r="R99" s="4"/>
      <c r="S99" s="4"/>
    </row>
    <row r="100" spans="1:19">
      <c r="A100" s="2" t="s">
        <v>217</v>
      </c>
      <c r="B100" s="3" t="s">
        <v>218</v>
      </c>
      <c r="C100" s="8">
        <v>44</v>
      </c>
      <c r="D100" s="8" t="s">
        <v>37</v>
      </c>
      <c r="E100" s="3">
        <v>1</v>
      </c>
      <c r="F100" s="3" t="s">
        <v>38</v>
      </c>
      <c r="G100" s="8">
        <v>1</v>
      </c>
      <c r="H100" s="3">
        <v>0.51200000000000001</v>
      </c>
      <c r="I100" s="8">
        <f t="shared" si="3"/>
        <v>0.91325301204819276</v>
      </c>
      <c r="J100" s="3">
        <f t="shared" si="4"/>
        <v>0.91325301204819276</v>
      </c>
      <c r="K100" s="4">
        <f t="shared" si="5"/>
        <v>0.91325301204819276</v>
      </c>
      <c r="L100" s="4"/>
      <c r="M100" s="4"/>
      <c r="N100" s="4"/>
      <c r="O100" s="4"/>
      <c r="P100" s="4"/>
      <c r="Q100" s="4"/>
      <c r="R100" s="4"/>
      <c r="S100" s="4"/>
    </row>
    <row r="101" spans="1:19">
      <c r="A101" s="2" t="s">
        <v>219</v>
      </c>
      <c r="B101" s="3" t="s">
        <v>220</v>
      </c>
      <c r="C101" s="8">
        <v>44</v>
      </c>
      <c r="D101" s="8" t="s">
        <v>37</v>
      </c>
      <c r="E101" s="3">
        <v>1</v>
      </c>
      <c r="F101" s="3" t="s">
        <v>38</v>
      </c>
      <c r="G101" s="8">
        <v>2</v>
      </c>
      <c r="H101" s="3">
        <v>0.56799999999999995</v>
      </c>
      <c r="I101" s="8">
        <f t="shared" si="3"/>
        <v>1.0359255202628694</v>
      </c>
      <c r="J101" s="3">
        <f t="shared" si="4"/>
        <v>1.0359255202628694</v>
      </c>
      <c r="K101" s="4">
        <f t="shared" si="5"/>
        <v>1.0359255202628694</v>
      </c>
      <c r="L101" s="4"/>
      <c r="M101" s="4"/>
      <c r="N101" s="4"/>
      <c r="O101" s="4"/>
      <c r="P101" s="4"/>
      <c r="Q101" s="4"/>
      <c r="R101" s="4"/>
      <c r="S101" s="4"/>
    </row>
    <row r="102" spans="1:19">
      <c r="A102" s="2" t="s">
        <v>221</v>
      </c>
      <c r="B102" s="3" t="s">
        <v>222</v>
      </c>
      <c r="C102" s="8">
        <v>44</v>
      </c>
      <c r="D102" s="8" t="s">
        <v>37</v>
      </c>
      <c r="E102" s="3">
        <v>1</v>
      </c>
      <c r="F102" s="3" t="s">
        <v>38</v>
      </c>
      <c r="G102" s="8">
        <v>3</v>
      </c>
      <c r="H102" s="3">
        <v>0.47599999999999998</v>
      </c>
      <c r="I102" s="8">
        <f t="shared" si="3"/>
        <v>0.83439211391018608</v>
      </c>
      <c r="J102" s="3">
        <f t="shared" si="4"/>
        <v>0.83439211391018608</v>
      </c>
      <c r="K102" s="4">
        <f t="shared" si="5"/>
        <v>0.83439211391018608</v>
      </c>
      <c r="L102" s="4"/>
      <c r="M102" s="4"/>
      <c r="N102" s="4"/>
      <c r="O102" s="4"/>
      <c r="P102" s="4"/>
      <c r="Q102" s="4"/>
      <c r="R102" s="4"/>
      <c r="S102" s="4"/>
    </row>
    <row r="103" spans="1:19">
      <c r="A103" s="2" t="s">
        <v>223</v>
      </c>
      <c r="B103" s="3" t="s">
        <v>224</v>
      </c>
      <c r="C103" s="8">
        <v>44</v>
      </c>
      <c r="D103" s="8" t="s">
        <v>45</v>
      </c>
      <c r="E103" s="3">
        <v>1</v>
      </c>
      <c r="F103" s="3" t="s">
        <v>46</v>
      </c>
      <c r="G103" s="8">
        <v>1</v>
      </c>
      <c r="H103" s="3">
        <v>0.124</v>
      </c>
      <c r="I103" s="8">
        <f t="shared" si="3"/>
        <v>6.3307776560788592E-2</v>
      </c>
      <c r="J103" s="3">
        <f t="shared" si="4"/>
        <v>6.3307776560788592E-2</v>
      </c>
      <c r="K103" s="4">
        <f t="shared" si="5"/>
        <v>6.3307776560788592E-2</v>
      </c>
      <c r="L103" s="4"/>
      <c r="M103" s="4"/>
      <c r="N103" s="4"/>
      <c r="O103" s="4"/>
      <c r="P103" s="4"/>
      <c r="Q103" s="4"/>
      <c r="R103" s="4"/>
      <c r="S103" s="4"/>
    </row>
    <row r="104" spans="1:19">
      <c r="A104" s="2" t="s">
        <v>225</v>
      </c>
      <c r="B104" s="3" t="s">
        <v>226</v>
      </c>
      <c r="C104" s="8">
        <v>44</v>
      </c>
      <c r="D104" s="8" t="s">
        <v>45</v>
      </c>
      <c r="E104" s="3">
        <v>1</v>
      </c>
      <c r="F104" s="3" t="s">
        <v>46</v>
      </c>
      <c r="G104" s="8">
        <v>2</v>
      </c>
      <c r="H104" s="3">
        <v>0.17899999999999999</v>
      </c>
      <c r="I104" s="8">
        <f t="shared" si="3"/>
        <v>0.18378970427163194</v>
      </c>
      <c r="J104" s="3">
        <f t="shared" si="4"/>
        <v>0.18378970427163194</v>
      </c>
      <c r="K104" s="4">
        <f t="shared" si="5"/>
        <v>0.18378970427163194</v>
      </c>
      <c r="L104" s="4"/>
      <c r="M104" s="4"/>
      <c r="N104" s="4"/>
      <c r="O104" s="4"/>
      <c r="P104" s="4"/>
      <c r="Q104" s="4"/>
      <c r="R104" s="4"/>
      <c r="S104" s="4"/>
    </row>
    <row r="105" spans="1:19">
      <c r="A105" s="2" t="s">
        <v>227</v>
      </c>
      <c r="B105" s="3" t="s">
        <v>228</v>
      </c>
      <c r="C105" s="8">
        <v>44</v>
      </c>
      <c r="D105" s="8" t="s">
        <v>45</v>
      </c>
      <c r="E105" s="3">
        <v>1</v>
      </c>
      <c r="F105" s="3" t="s">
        <v>46</v>
      </c>
      <c r="G105" s="8">
        <v>3</v>
      </c>
      <c r="H105" s="3">
        <v>0.193</v>
      </c>
      <c r="I105" s="8">
        <f t="shared" si="3"/>
        <v>0.21445783132530119</v>
      </c>
      <c r="J105" s="3">
        <f t="shared" si="4"/>
        <v>0.21445783132530119</v>
      </c>
      <c r="K105" s="4">
        <f t="shared" si="5"/>
        <v>0.21445783132530119</v>
      </c>
      <c r="L105" s="4"/>
      <c r="M105" s="4"/>
      <c r="N105" s="4"/>
      <c r="O105" s="4"/>
      <c r="P105" s="4"/>
      <c r="Q105" s="4"/>
      <c r="R105" s="4"/>
      <c r="S105" s="4"/>
    </row>
    <row r="106" spans="1:19">
      <c r="A106" s="2" t="s">
        <v>229</v>
      </c>
      <c r="B106" s="3" t="s">
        <v>230</v>
      </c>
      <c r="C106" s="8">
        <v>50</v>
      </c>
      <c r="D106" s="8" t="s">
        <v>13</v>
      </c>
      <c r="E106" s="3">
        <v>1</v>
      </c>
      <c r="F106" s="3" t="s">
        <v>14</v>
      </c>
      <c r="G106" s="8">
        <v>1</v>
      </c>
      <c r="H106" s="3">
        <v>5.1999999999999998E-2</v>
      </c>
      <c r="I106" s="8">
        <f t="shared" si="3"/>
        <v>-9.4414019715224548E-2</v>
      </c>
      <c r="J106" s="3">
        <f t="shared" si="4"/>
        <v>-9.4414019715224548E-2</v>
      </c>
      <c r="K106" s="4">
        <f t="shared" si="5"/>
        <v>0</v>
      </c>
    </row>
    <row r="107" spans="1:19">
      <c r="A107" s="2" t="s">
        <v>231</v>
      </c>
      <c r="B107" s="3" t="s">
        <v>232</v>
      </c>
      <c r="C107" s="8">
        <v>50</v>
      </c>
      <c r="D107" s="8" t="s">
        <v>13</v>
      </c>
      <c r="E107" s="3">
        <v>1</v>
      </c>
      <c r="F107" s="3" t="s">
        <v>14</v>
      </c>
      <c r="G107" s="8">
        <v>2</v>
      </c>
      <c r="H107" s="3">
        <v>5.0999999999999997E-2</v>
      </c>
      <c r="I107" s="8">
        <f t="shared" si="3"/>
        <v>-9.6604600219058062E-2</v>
      </c>
      <c r="J107" s="3">
        <f t="shared" si="4"/>
        <v>-9.6604600219058062E-2</v>
      </c>
      <c r="K107" s="4">
        <f t="shared" si="5"/>
        <v>0</v>
      </c>
    </row>
    <row r="108" spans="1:19">
      <c r="A108" s="2" t="s">
        <v>233</v>
      </c>
      <c r="B108" s="3" t="s">
        <v>234</v>
      </c>
      <c r="C108" s="8">
        <v>50</v>
      </c>
      <c r="D108" s="8" t="s">
        <v>13</v>
      </c>
      <c r="E108" s="3">
        <v>1</v>
      </c>
      <c r="F108" s="3" t="s">
        <v>14</v>
      </c>
      <c r="G108" s="8">
        <v>3</v>
      </c>
      <c r="H108" s="3">
        <v>0.05</v>
      </c>
      <c r="I108" s="8">
        <f t="shared" si="3"/>
        <v>-9.8795180722891562E-2</v>
      </c>
      <c r="J108" s="3">
        <f t="shared" si="4"/>
        <v>-9.8795180722891562E-2</v>
      </c>
      <c r="K108" s="4">
        <f t="shared" si="5"/>
        <v>0</v>
      </c>
    </row>
    <row r="109" spans="1:19">
      <c r="A109" s="2" t="s">
        <v>235</v>
      </c>
      <c r="B109" s="3" t="s">
        <v>236</v>
      </c>
      <c r="C109" s="8">
        <v>50</v>
      </c>
      <c r="D109" s="8" t="s">
        <v>21</v>
      </c>
      <c r="E109" s="3">
        <v>1</v>
      </c>
      <c r="F109" s="3" t="s">
        <v>22</v>
      </c>
      <c r="G109" s="8">
        <v>1</v>
      </c>
      <c r="H109" s="3">
        <v>0.218</v>
      </c>
      <c r="I109" s="8">
        <f t="shared" si="3"/>
        <v>0.26922234392113908</v>
      </c>
      <c r="J109" s="3">
        <f t="shared" si="4"/>
        <v>0.26922234392113908</v>
      </c>
      <c r="K109" s="4">
        <f t="shared" si="5"/>
        <v>0.26922234392113908</v>
      </c>
    </row>
    <row r="110" spans="1:19">
      <c r="A110" s="2" t="s">
        <v>237</v>
      </c>
      <c r="B110" s="3" t="s">
        <v>238</v>
      </c>
      <c r="C110" s="8">
        <v>50</v>
      </c>
      <c r="D110" s="8" t="s">
        <v>21</v>
      </c>
      <c r="E110" s="3">
        <v>1</v>
      </c>
      <c r="F110" s="3" t="s">
        <v>22</v>
      </c>
      <c r="G110" s="8">
        <v>2</v>
      </c>
      <c r="H110" s="3">
        <v>0.16500000000000001</v>
      </c>
      <c r="I110" s="8">
        <f t="shared" si="3"/>
        <v>0.15312157721796277</v>
      </c>
      <c r="J110" s="3">
        <f t="shared" si="4"/>
        <v>0.15312157721796277</v>
      </c>
      <c r="K110" s="4">
        <f t="shared" si="5"/>
        <v>0.15312157721796277</v>
      </c>
    </row>
    <row r="111" spans="1:19">
      <c r="A111" s="2" t="s">
        <v>239</v>
      </c>
      <c r="B111" s="3" t="s">
        <v>240</v>
      </c>
      <c r="C111" s="8">
        <v>50</v>
      </c>
      <c r="D111" s="8" t="s">
        <v>21</v>
      </c>
      <c r="E111" s="3">
        <v>1</v>
      </c>
      <c r="F111" s="3" t="s">
        <v>22</v>
      </c>
      <c r="G111" s="8">
        <v>3</v>
      </c>
      <c r="H111" s="3">
        <v>0.14199999999999999</v>
      </c>
      <c r="I111" s="8">
        <f t="shared" si="3"/>
        <v>0.10273822562979186</v>
      </c>
      <c r="J111" s="3">
        <f t="shared" si="4"/>
        <v>0.10273822562979186</v>
      </c>
      <c r="K111" s="4">
        <f t="shared" si="5"/>
        <v>0.10273822562979186</v>
      </c>
    </row>
    <row r="112" spans="1:19">
      <c r="A112" s="2" t="s">
        <v>241</v>
      </c>
      <c r="B112" s="3" t="s">
        <v>242</v>
      </c>
      <c r="C112" s="8">
        <v>50</v>
      </c>
      <c r="D112" s="8" t="s">
        <v>29</v>
      </c>
      <c r="E112" s="3">
        <v>1</v>
      </c>
      <c r="F112" s="3" t="s">
        <v>30</v>
      </c>
      <c r="G112" s="8">
        <v>1</v>
      </c>
      <c r="H112" s="3">
        <v>7.9000000000000001E-2</v>
      </c>
      <c r="I112" s="8">
        <f t="shared" si="3"/>
        <v>-3.5268346111719612E-2</v>
      </c>
      <c r="J112" s="3">
        <f t="shared" si="4"/>
        <v>-3.5268346111719612E-2</v>
      </c>
      <c r="K112" s="4">
        <f t="shared" si="5"/>
        <v>0</v>
      </c>
    </row>
    <row r="113" spans="1:11">
      <c r="A113" s="2" t="s">
        <v>243</v>
      </c>
      <c r="B113" s="3" t="s">
        <v>244</v>
      </c>
      <c r="C113" s="8">
        <v>50</v>
      </c>
      <c r="D113" s="8" t="s">
        <v>29</v>
      </c>
      <c r="E113" s="3">
        <v>1</v>
      </c>
      <c r="F113" s="3" t="s">
        <v>30</v>
      </c>
      <c r="G113" s="8">
        <v>2</v>
      </c>
      <c r="H113" s="3">
        <v>7.4999999999999997E-2</v>
      </c>
      <c r="I113" s="8">
        <f t="shared" si="3"/>
        <v>-4.4030668127053682E-2</v>
      </c>
      <c r="J113" s="3">
        <f t="shared" si="4"/>
        <v>-4.4030668127053682E-2</v>
      </c>
      <c r="K113" s="4">
        <f t="shared" si="5"/>
        <v>0</v>
      </c>
    </row>
    <row r="114" spans="1:11">
      <c r="A114" s="2" t="s">
        <v>245</v>
      </c>
      <c r="B114" s="3" t="s">
        <v>246</v>
      </c>
      <c r="C114" s="8">
        <v>50</v>
      </c>
      <c r="D114" s="8" t="s">
        <v>29</v>
      </c>
      <c r="E114" s="3">
        <v>1</v>
      </c>
      <c r="F114" s="3" t="s">
        <v>30</v>
      </c>
      <c r="G114" s="8">
        <v>3</v>
      </c>
      <c r="H114" s="3">
        <v>0.104</v>
      </c>
      <c r="I114" s="8">
        <f t="shared" si="3"/>
        <v>1.9496166484118272E-2</v>
      </c>
      <c r="J114" s="3">
        <f t="shared" si="4"/>
        <v>1.9496166484118272E-2</v>
      </c>
      <c r="K114" s="4">
        <f t="shared" si="5"/>
        <v>1.9496166484118272E-2</v>
      </c>
    </row>
    <row r="115" spans="1:11">
      <c r="A115" s="2" t="s">
        <v>247</v>
      </c>
      <c r="B115" s="3" t="s">
        <v>248</v>
      </c>
      <c r="C115" s="8">
        <v>50</v>
      </c>
      <c r="D115" s="8" t="s">
        <v>37</v>
      </c>
      <c r="E115" s="3">
        <v>1</v>
      </c>
      <c r="F115" s="3" t="s">
        <v>38</v>
      </c>
      <c r="G115" s="8">
        <v>1</v>
      </c>
      <c r="H115" s="3">
        <v>0.625</v>
      </c>
      <c r="I115" s="8">
        <f t="shared" si="3"/>
        <v>1.1607886089813801</v>
      </c>
      <c r="J115" s="3">
        <f t="shared" si="4"/>
        <v>1.1607886089813801</v>
      </c>
      <c r="K115" s="4">
        <f t="shared" si="5"/>
        <v>1.1607886089813801</v>
      </c>
    </row>
    <row r="116" spans="1:11">
      <c r="A116" s="2" t="s">
        <v>249</v>
      </c>
      <c r="B116" s="3" t="s">
        <v>250</v>
      </c>
      <c r="C116" s="8">
        <v>50</v>
      </c>
      <c r="D116" s="8" t="s">
        <v>37</v>
      </c>
      <c r="E116" s="3">
        <v>1</v>
      </c>
      <c r="F116" s="3" t="s">
        <v>38</v>
      </c>
      <c r="G116" s="8">
        <v>2</v>
      </c>
      <c r="H116" s="3">
        <v>0.59499999999999997</v>
      </c>
      <c r="I116" s="8">
        <f t="shared" si="3"/>
        <v>1.0950711938663744</v>
      </c>
      <c r="J116" s="3">
        <f t="shared" si="4"/>
        <v>1.0950711938663744</v>
      </c>
      <c r="K116" s="4">
        <f t="shared" si="5"/>
        <v>1.0950711938663744</v>
      </c>
    </row>
    <row r="117" spans="1:11">
      <c r="A117" s="2" t="s">
        <v>251</v>
      </c>
      <c r="B117" s="3" t="s">
        <v>252</v>
      </c>
      <c r="C117" s="8">
        <v>50</v>
      </c>
      <c r="D117" s="8" t="s">
        <v>37</v>
      </c>
      <c r="E117" s="3">
        <v>1</v>
      </c>
      <c r="F117" s="3" t="s">
        <v>38</v>
      </c>
      <c r="G117" s="8">
        <v>3</v>
      </c>
      <c r="H117" s="3">
        <v>0.47099999999999997</v>
      </c>
      <c r="I117" s="8">
        <f t="shared" si="3"/>
        <v>0.8234392113910185</v>
      </c>
      <c r="J117" s="3">
        <f t="shared" si="4"/>
        <v>0.8234392113910185</v>
      </c>
      <c r="K117" s="4">
        <f t="shared" si="5"/>
        <v>0.8234392113910185</v>
      </c>
    </row>
    <row r="118" spans="1:11">
      <c r="A118" s="2" t="s">
        <v>253</v>
      </c>
      <c r="B118" s="3" t="s">
        <v>254</v>
      </c>
      <c r="C118" s="8">
        <v>50</v>
      </c>
      <c r="D118" s="8" t="s">
        <v>45</v>
      </c>
      <c r="E118" s="3">
        <v>1</v>
      </c>
      <c r="F118" s="3" t="s">
        <v>46</v>
      </c>
      <c r="G118" s="8">
        <v>1</v>
      </c>
      <c r="H118" s="3">
        <v>0.17199999999999999</v>
      </c>
      <c r="I118" s="8">
        <f t="shared" si="3"/>
        <v>0.16845564074479732</v>
      </c>
      <c r="J118" s="3">
        <f t="shared" si="4"/>
        <v>0.16845564074479732</v>
      </c>
      <c r="K118" s="4">
        <f t="shared" si="5"/>
        <v>0.16845564074479732</v>
      </c>
    </row>
    <row r="119" spans="1:11">
      <c r="A119" s="2" t="s">
        <v>255</v>
      </c>
      <c r="B119" s="3" t="s">
        <v>256</v>
      </c>
      <c r="C119" s="8">
        <v>50</v>
      </c>
      <c r="D119" s="8" t="s">
        <v>45</v>
      </c>
      <c r="E119" s="3">
        <v>1</v>
      </c>
      <c r="F119" s="3" t="s">
        <v>46</v>
      </c>
      <c r="G119" s="8">
        <v>2</v>
      </c>
      <c r="H119" s="3">
        <v>0.13800000000000001</v>
      </c>
      <c r="I119" s="8">
        <f t="shared" si="3"/>
        <v>9.3975903614457845E-2</v>
      </c>
      <c r="J119" s="3">
        <f t="shared" si="4"/>
        <v>9.3975903614457845E-2</v>
      </c>
      <c r="K119" s="4">
        <f t="shared" si="5"/>
        <v>9.3975903614457845E-2</v>
      </c>
    </row>
    <row r="120" spans="1:11">
      <c r="A120" s="2" t="s">
        <v>257</v>
      </c>
      <c r="B120" s="3" t="s">
        <v>258</v>
      </c>
      <c r="C120" s="8">
        <v>50</v>
      </c>
      <c r="D120" s="8" t="s">
        <v>45</v>
      </c>
      <c r="E120" s="3">
        <v>1</v>
      </c>
      <c r="F120" s="3" t="s">
        <v>46</v>
      </c>
      <c r="G120" s="8">
        <v>3</v>
      </c>
      <c r="H120" s="3">
        <v>0.16200000000000001</v>
      </c>
      <c r="I120" s="8">
        <f t="shared" si="3"/>
        <v>0.14654983570646221</v>
      </c>
      <c r="J120" s="3">
        <f t="shared" si="4"/>
        <v>0.14654983570646221</v>
      </c>
      <c r="K120" s="4">
        <f t="shared" si="5"/>
        <v>0.14654983570646221</v>
      </c>
    </row>
    <row r="121" spans="1:11">
      <c r="A121" s="2" t="s">
        <v>259</v>
      </c>
      <c r="B121" s="3" t="s">
        <v>260</v>
      </c>
      <c r="C121" s="8">
        <v>56</v>
      </c>
      <c r="D121" s="8" t="s">
        <v>13</v>
      </c>
      <c r="E121" s="3">
        <v>1</v>
      </c>
      <c r="F121" s="3" t="s">
        <v>14</v>
      </c>
      <c r="G121" s="8">
        <v>1</v>
      </c>
      <c r="H121" s="3">
        <v>5.6000000000000001E-2</v>
      </c>
      <c r="I121" s="8">
        <f t="shared" si="3"/>
        <v>-8.5651697699890478E-2</v>
      </c>
      <c r="J121" s="3">
        <f t="shared" si="4"/>
        <v>-8.5651697699890478E-2</v>
      </c>
      <c r="K121" s="4">
        <f t="shared" si="5"/>
        <v>0</v>
      </c>
    </row>
    <row r="122" spans="1:11">
      <c r="A122" s="2" t="s">
        <v>261</v>
      </c>
      <c r="B122" s="3" t="s">
        <v>262</v>
      </c>
      <c r="C122" s="8">
        <v>56</v>
      </c>
      <c r="D122" s="8" t="s">
        <v>13</v>
      </c>
      <c r="E122" s="3">
        <v>1</v>
      </c>
      <c r="F122" s="3" t="s">
        <v>14</v>
      </c>
      <c r="G122" s="8">
        <v>2</v>
      </c>
      <c r="H122" s="3">
        <v>5.6000000000000001E-2</v>
      </c>
      <c r="I122" s="8">
        <f t="shared" si="3"/>
        <v>-8.5651697699890478E-2</v>
      </c>
      <c r="J122" s="3">
        <f t="shared" si="4"/>
        <v>-8.5651697699890478E-2</v>
      </c>
      <c r="K122" s="4">
        <f t="shared" si="5"/>
        <v>0</v>
      </c>
    </row>
    <row r="123" spans="1:11">
      <c r="A123" s="2" t="s">
        <v>263</v>
      </c>
      <c r="B123" s="3" t="s">
        <v>264</v>
      </c>
      <c r="C123" s="8">
        <v>56</v>
      </c>
      <c r="D123" s="8" t="s">
        <v>13</v>
      </c>
      <c r="E123" s="3">
        <v>1</v>
      </c>
      <c r="F123" s="3" t="s">
        <v>14</v>
      </c>
      <c r="G123" s="8">
        <v>3</v>
      </c>
      <c r="H123" s="3">
        <v>5.1999999999999998E-2</v>
      </c>
      <c r="I123" s="8">
        <f t="shared" si="3"/>
        <v>-9.4414019715224548E-2</v>
      </c>
      <c r="J123" s="3">
        <f t="shared" si="4"/>
        <v>-9.4414019715224548E-2</v>
      </c>
      <c r="K123" s="4">
        <f t="shared" si="5"/>
        <v>0</v>
      </c>
    </row>
    <row r="124" spans="1:11">
      <c r="A124" s="2" t="s">
        <v>265</v>
      </c>
      <c r="B124" s="3" t="s">
        <v>266</v>
      </c>
      <c r="C124" s="8">
        <v>56</v>
      </c>
      <c r="D124" s="8" t="s">
        <v>21</v>
      </c>
      <c r="E124" s="3">
        <v>1</v>
      </c>
      <c r="F124" s="3" t="s">
        <v>22</v>
      </c>
      <c r="G124" s="8">
        <v>1</v>
      </c>
      <c r="H124" s="3">
        <v>0.14799999999999999</v>
      </c>
      <c r="I124" s="8">
        <f t="shared" si="3"/>
        <v>0.11588170865279296</v>
      </c>
      <c r="J124" s="3">
        <f t="shared" si="4"/>
        <v>0.11588170865279296</v>
      </c>
      <c r="K124" s="4">
        <f t="shared" si="5"/>
        <v>0.11588170865279296</v>
      </c>
    </row>
    <row r="125" spans="1:11">
      <c r="A125" s="2" t="s">
        <v>267</v>
      </c>
      <c r="B125" s="3" t="s">
        <v>268</v>
      </c>
      <c r="C125" s="8">
        <v>56</v>
      </c>
      <c r="D125" s="8" t="s">
        <v>21</v>
      </c>
      <c r="E125" s="3">
        <v>1</v>
      </c>
      <c r="F125" s="3" t="s">
        <v>22</v>
      </c>
      <c r="G125" s="8">
        <v>2</v>
      </c>
      <c r="H125" s="3">
        <v>0.193</v>
      </c>
      <c r="I125" s="8">
        <f t="shared" si="3"/>
        <v>0.21445783132530119</v>
      </c>
      <c r="J125" s="3">
        <f t="shared" si="4"/>
        <v>0.21445783132530119</v>
      </c>
      <c r="K125" s="4">
        <f t="shared" si="5"/>
        <v>0.21445783132530119</v>
      </c>
    </row>
    <row r="126" spans="1:11">
      <c r="A126" s="2" t="s">
        <v>269</v>
      </c>
      <c r="B126" s="3" t="s">
        <v>270</v>
      </c>
      <c r="C126" s="8">
        <v>56</v>
      </c>
      <c r="D126" s="8" t="s">
        <v>21</v>
      </c>
      <c r="E126" s="3">
        <v>1</v>
      </c>
      <c r="F126" s="3" t="s">
        <v>22</v>
      </c>
      <c r="G126" s="8">
        <v>3</v>
      </c>
      <c r="H126" s="3">
        <v>0.23300000000000001</v>
      </c>
      <c r="I126" s="8">
        <f t="shared" si="3"/>
        <v>0.30208105147864189</v>
      </c>
      <c r="J126" s="3">
        <f t="shared" si="4"/>
        <v>0.30208105147864189</v>
      </c>
      <c r="K126" s="4">
        <f t="shared" si="5"/>
        <v>0.30208105147864189</v>
      </c>
    </row>
    <row r="127" spans="1:11">
      <c r="A127" s="2" t="s">
        <v>271</v>
      </c>
      <c r="B127" s="3" t="s">
        <v>272</v>
      </c>
      <c r="C127" s="8">
        <v>56</v>
      </c>
      <c r="D127" s="8" t="s">
        <v>29</v>
      </c>
      <c r="E127" s="3">
        <v>1</v>
      </c>
      <c r="F127" s="3" t="s">
        <v>30</v>
      </c>
      <c r="G127" s="8">
        <v>1</v>
      </c>
      <c r="H127" s="3">
        <v>8.1000000000000003E-2</v>
      </c>
      <c r="I127" s="8">
        <f t="shared" si="3"/>
        <v>-3.0887185104052577E-2</v>
      </c>
      <c r="J127" s="3">
        <f t="shared" si="4"/>
        <v>-3.0887185104052577E-2</v>
      </c>
      <c r="K127" s="4">
        <f t="shared" si="5"/>
        <v>0</v>
      </c>
    </row>
    <row r="128" spans="1:11">
      <c r="A128" s="2" t="s">
        <v>273</v>
      </c>
      <c r="B128" s="3" t="s">
        <v>274</v>
      </c>
      <c r="C128" s="8">
        <v>56</v>
      </c>
      <c r="D128" s="8" t="s">
        <v>29</v>
      </c>
      <c r="E128" s="3">
        <v>1</v>
      </c>
      <c r="F128" s="3" t="s">
        <v>30</v>
      </c>
      <c r="G128" s="8">
        <v>2</v>
      </c>
      <c r="H128" s="3">
        <v>7.1999999999999995E-2</v>
      </c>
      <c r="I128" s="8">
        <f t="shared" si="3"/>
        <v>-5.0602409638554238E-2</v>
      </c>
      <c r="J128" s="3">
        <f t="shared" si="4"/>
        <v>-5.0602409638554238E-2</v>
      </c>
      <c r="K128" s="4">
        <f t="shared" si="5"/>
        <v>0</v>
      </c>
    </row>
    <row r="129" spans="1:11">
      <c r="A129" s="2" t="s">
        <v>275</v>
      </c>
      <c r="B129" s="3" t="s">
        <v>276</v>
      </c>
      <c r="C129" s="8">
        <v>56</v>
      </c>
      <c r="D129" s="8" t="s">
        <v>29</v>
      </c>
      <c r="E129" s="3">
        <v>1</v>
      </c>
      <c r="F129" s="3" t="s">
        <v>30</v>
      </c>
      <c r="G129" s="8">
        <v>3</v>
      </c>
      <c r="H129" s="3">
        <v>8.6999999999999994E-2</v>
      </c>
      <c r="I129" s="8">
        <f t="shared" ref="I129:I192" si="6">(H129-0.0951)/0.4565</f>
        <v>-1.7743702081051499E-2</v>
      </c>
      <c r="J129" s="3">
        <f t="shared" si="4"/>
        <v>-1.7743702081051499E-2</v>
      </c>
      <c r="K129" s="4">
        <f t="shared" si="5"/>
        <v>0</v>
      </c>
    </row>
    <row r="130" spans="1:11">
      <c r="A130" s="2" t="s">
        <v>277</v>
      </c>
      <c r="B130" s="3" t="s">
        <v>278</v>
      </c>
      <c r="C130" s="8">
        <v>56</v>
      </c>
      <c r="D130" s="8" t="s">
        <v>37</v>
      </c>
      <c r="E130" s="3">
        <v>1</v>
      </c>
      <c r="F130" s="3" t="s">
        <v>38</v>
      </c>
      <c r="G130" s="8">
        <v>1</v>
      </c>
      <c r="H130" s="3">
        <v>0.65200000000000002</v>
      </c>
      <c r="I130" s="8">
        <f t="shared" si="6"/>
        <v>1.2199342825848851</v>
      </c>
      <c r="J130" s="3">
        <f t="shared" ref="J130:J193" si="7">I130*E130</f>
        <v>1.2199342825848851</v>
      </c>
      <c r="K130" s="4">
        <f t="shared" ref="K130:K193" si="8">IF(J130 &lt; 0, 0, J130)</f>
        <v>1.2199342825848851</v>
      </c>
    </row>
    <row r="131" spans="1:11">
      <c r="A131" s="2" t="s">
        <v>279</v>
      </c>
      <c r="B131" s="3" t="s">
        <v>280</v>
      </c>
      <c r="C131" s="8">
        <v>56</v>
      </c>
      <c r="D131" s="8" t="s">
        <v>37</v>
      </c>
      <c r="E131" s="3">
        <v>1</v>
      </c>
      <c r="F131" s="3" t="s">
        <v>38</v>
      </c>
      <c r="G131" s="8">
        <v>2</v>
      </c>
      <c r="H131" s="3">
        <v>0.68300000000000005</v>
      </c>
      <c r="I131" s="8">
        <f t="shared" si="6"/>
        <v>1.2878422782037242</v>
      </c>
      <c r="J131" s="3">
        <f t="shared" si="7"/>
        <v>1.2878422782037242</v>
      </c>
      <c r="K131" s="4">
        <f t="shared" si="8"/>
        <v>1.2878422782037242</v>
      </c>
    </row>
    <row r="132" spans="1:11">
      <c r="A132" s="2" t="s">
        <v>281</v>
      </c>
      <c r="B132" s="3" t="s">
        <v>282</v>
      </c>
      <c r="C132" s="8">
        <v>56</v>
      </c>
      <c r="D132" s="8" t="s">
        <v>37</v>
      </c>
      <c r="E132" s="3">
        <v>1</v>
      </c>
      <c r="F132" s="3" t="s">
        <v>38</v>
      </c>
      <c r="G132" s="8">
        <v>3</v>
      </c>
      <c r="H132" s="3">
        <v>0.44400000000000001</v>
      </c>
      <c r="I132" s="8">
        <f t="shared" si="6"/>
        <v>0.76429353778751363</v>
      </c>
      <c r="J132" s="3">
        <f t="shared" si="7"/>
        <v>0.76429353778751363</v>
      </c>
      <c r="K132" s="4">
        <f t="shared" si="8"/>
        <v>0.76429353778751363</v>
      </c>
    </row>
    <row r="133" spans="1:11">
      <c r="A133" s="2" t="s">
        <v>283</v>
      </c>
      <c r="B133" s="3" t="s">
        <v>284</v>
      </c>
      <c r="C133" s="8">
        <v>56</v>
      </c>
      <c r="D133" s="8" t="s">
        <v>45</v>
      </c>
      <c r="E133" s="3">
        <v>1</v>
      </c>
      <c r="F133" s="3" t="s">
        <v>46</v>
      </c>
      <c r="G133" s="8">
        <v>1</v>
      </c>
      <c r="H133" s="3">
        <v>0.121</v>
      </c>
      <c r="I133" s="8">
        <f t="shared" si="6"/>
        <v>5.6736035049288043E-2</v>
      </c>
      <c r="J133" s="3">
        <f t="shared" si="7"/>
        <v>5.6736035049288043E-2</v>
      </c>
      <c r="K133" s="4">
        <f t="shared" si="8"/>
        <v>5.6736035049288043E-2</v>
      </c>
    </row>
    <row r="134" spans="1:11">
      <c r="A134" s="2" t="s">
        <v>285</v>
      </c>
      <c r="B134" s="3" t="s">
        <v>286</v>
      </c>
      <c r="C134" s="8">
        <v>56</v>
      </c>
      <c r="D134" s="8" t="s">
        <v>45</v>
      </c>
      <c r="E134" s="3">
        <v>1</v>
      </c>
      <c r="F134" s="3" t="s">
        <v>46</v>
      </c>
      <c r="G134" s="8">
        <v>2</v>
      </c>
      <c r="H134" s="3">
        <v>0.11899999999999999</v>
      </c>
      <c r="I134" s="8">
        <f t="shared" si="6"/>
        <v>5.2354874041621008E-2</v>
      </c>
      <c r="J134" s="3">
        <f t="shared" si="7"/>
        <v>5.2354874041621008E-2</v>
      </c>
      <c r="K134" s="4">
        <f t="shared" si="8"/>
        <v>5.2354874041621008E-2</v>
      </c>
    </row>
    <row r="135" spans="1:11">
      <c r="A135" s="2" t="s">
        <v>287</v>
      </c>
      <c r="B135" s="3" t="s">
        <v>288</v>
      </c>
      <c r="C135" s="8">
        <v>56</v>
      </c>
      <c r="D135" s="8" t="s">
        <v>45</v>
      </c>
      <c r="E135" s="3">
        <v>1</v>
      </c>
      <c r="F135" s="3" t="s">
        <v>46</v>
      </c>
      <c r="G135" s="8">
        <v>3</v>
      </c>
      <c r="H135" s="3">
        <v>0.125</v>
      </c>
      <c r="I135" s="8">
        <f t="shared" si="6"/>
        <v>6.549835706462212E-2</v>
      </c>
      <c r="J135" s="3">
        <f t="shared" si="7"/>
        <v>6.549835706462212E-2</v>
      </c>
      <c r="K135" s="4">
        <f t="shared" si="8"/>
        <v>6.549835706462212E-2</v>
      </c>
    </row>
    <row r="136" spans="1:11">
      <c r="A136" s="2" t="s">
        <v>289</v>
      </c>
      <c r="B136" s="3" t="s">
        <v>290</v>
      </c>
      <c r="C136" s="8">
        <v>65</v>
      </c>
      <c r="D136" s="8" t="s">
        <v>13</v>
      </c>
      <c r="E136" s="3">
        <v>1</v>
      </c>
      <c r="F136" s="3" t="s">
        <v>14</v>
      </c>
      <c r="G136" s="8">
        <v>1</v>
      </c>
      <c r="H136" s="3">
        <v>5.5E-2</v>
      </c>
      <c r="I136" s="8">
        <f t="shared" si="6"/>
        <v>-8.7842278203723992E-2</v>
      </c>
      <c r="J136" s="3">
        <f t="shared" si="7"/>
        <v>-8.7842278203723992E-2</v>
      </c>
      <c r="K136" s="4">
        <f t="shared" si="8"/>
        <v>0</v>
      </c>
    </row>
    <row r="137" spans="1:11">
      <c r="A137" s="2" t="s">
        <v>291</v>
      </c>
      <c r="B137" s="3" t="s">
        <v>292</v>
      </c>
      <c r="C137" s="8">
        <v>65</v>
      </c>
      <c r="D137" s="8" t="s">
        <v>13</v>
      </c>
      <c r="E137" s="3">
        <v>1</v>
      </c>
      <c r="F137" s="3" t="s">
        <v>14</v>
      </c>
      <c r="G137" s="8">
        <v>2</v>
      </c>
      <c r="H137" s="3">
        <v>5.3999999999999999E-2</v>
      </c>
      <c r="I137" s="8">
        <f t="shared" si="6"/>
        <v>-9.0032858707557506E-2</v>
      </c>
      <c r="J137" s="3">
        <f t="shared" si="7"/>
        <v>-9.0032858707557506E-2</v>
      </c>
      <c r="K137" s="4">
        <f t="shared" si="8"/>
        <v>0</v>
      </c>
    </row>
    <row r="138" spans="1:11">
      <c r="A138" s="2" t="s">
        <v>293</v>
      </c>
      <c r="B138" s="3" t="s">
        <v>294</v>
      </c>
      <c r="C138" s="8">
        <v>65</v>
      </c>
      <c r="D138" s="8" t="s">
        <v>13</v>
      </c>
      <c r="E138" s="3">
        <v>1</v>
      </c>
      <c r="F138" s="3" t="s">
        <v>14</v>
      </c>
      <c r="G138" s="8">
        <v>3</v>
      </c>
      <c r="H138" s="3">
        <v>5.2999999999999999E-2</v>
      </c>
      <c r="I138" s="8">
        <f t="shared" si="6"/>
        <v>-9.2223439211391034E-2</v>
      </c>
      <c r="J138" s="3">
        <f t="shared" si="7"/>
        <v>-9.2223439211391034E-2</v>
      </c>
      <c r="K138" s="4">
        <f t="shared" si="8"/>
        <v>0</v>
      </c>
    </row>
    <row r="139" spans="1:11">
      <c r="A139" s="2" t="s">
        <v>295</v>
      </c>
      <c r="B139" s="3" t="s">
        <v>296</v>
      </c>
      <c r="C139" s="8">
        <v>65</v>
      </c>
      <c r="D139" s="8" t="s">
        <v>21</v>
      </c>
      <c r="E139" s="3">
        <v>1</v>
      </c>
      <c r="F139" s="3" t="s">
        <v>22</v>
      </c>
      <c r="G139" s="8">
        <v>1</v>
      </c>
      <c r="H139" s="3">
        <v>0.121</v>
      </c>
      <c r="I139" s="8">
        <f t="shared" si="6"/>
        <v>5.6736035049288043E-2</v>
      </c>
      <c r="J139" s="3">
        <f t="shared" si="7"/>
        <v>5.6736035049288043E-2</v>
      </c>
      <c r="K139" s="4">
        <f t="shared" si="8"/>
        <v>5.6736035049288043E-2</v>
      </c>
    </row>
    <row r="140" spans="1:11">
      <c r="A140" s="2" t="s">
        <v>297</v>
      </c>
      <c r="B140" s="3" t="s">
        <v>298</v>
      </c>
      <c r="C140" s="8">
        <v>65</v>
      </c>
      <c r="D140" s="8" t="s">
        <v>21</v>
      </c>
      <c r="E140" s="3">
        <v>1</v>
      </c>
      <c r="F140" s="3" t="s">
        <v>22</v>
      </c>
      <c r="G140" s="8">
        <v>2</v>
      </c>
      <c r="H140" s="3">
        <v>0.11899999999999999</v>
      </c>
      <c r="I140" s="8">
        <f t="shared" si="6"/>
        <v>5.2354874041621008E-2</v>
      </c>
      <c r="J140" s="3">
        <f t="shared" si="7"/>
        <v>5.2354874041621008E-2</v>
      </c>
      <c r="K140" s="4">
        <f t="shared" si="8"/>
        <v>5.2354874041621008E-2</v>
      </c>
    </row>
    <row r="141" spans="1:11">
      <c r="A141" s="2" t="s">
        <v>299</v>
      </c>
      <c r="B141" s="3" t="s">
        <v>300</v>
      </c>
      <c r="C141" s="8">
        <v>65</v>
      </c>
      <c r="D141" s="8" t="s">
        <v>21</v>
      </c>
      <c r="E141" s="3">
        <v>1</v>
      </c>
      <c r="F141" s="3" t="s">
        <v>22</v>
      </c>
      <c r="G141" s="8">
        <v>3</v>
      </c>
      <c r="H141" s="3">
        <v>0.11700000000000001</v>
      </c>
      <c r="I141" s="8">
        <f t="shared" si="6"/>
        <v>4.7973713033954E-2</v>
      </c>
      <c r="J141" s="3">
        <f t="shared" si="7"/>
        <v>4.7973713033954E-2</v>
      </c>
      <c r="K141" s="4">
        <f t="shared" si="8"/>
        <v>4.7973713033954E-2</v>
      </c>
    </row>
    <row r="142" spans="1:11">
      <c r="A142" s="2" t="s">
        <v>301</v>
      </c>
      <c r="B142" s="3" t="s">
        <v>302</v>
      </c>
      <c r="C142" s="8">
        <v>65</v>
      </c>
      <c r="D142" s="8" t="s">
        <v>29</v>
      </c>
      <c r="E142" s="3">
        <v>1</v>
      </c>
      <c r="F142" s="3" t="s">
        <v>30</v>
      </c>
      <c r="G142" s="8">
        <v>1</v>
      </c>
      <c r="H142" s="3">
        <v>6.3E-2</v>
      </c>
      <c r="I142" s="8">
        <f t="shared" si="6"/>
        <v>-7.0317634173055865E-2</v>
      </c>
      <c r="J142" s="3">
        <f t="shared" si="7"/>
        <v>-7.0317634173055865E-2</v>
      </c>
      <c r="K142" s="4">
        <f t="shared" si="8"/>
        <v>0</v>
      </c>
    </row>
    <row r="143" spans="1:11">
      <c r="A143" s="2" t="s">
        <v>303</v>
      </c>
      <c r="B143" s="3" t="s">
        <v>304</v>
      </c>
      <c r="C143" s="8">
        <v>65</v>
      </c>
      <c r="D143" s="8" t="s">
        <v>29</v>
      </c>
      <c r="E143" s="3">
        <v>1</v>
      </c>
      <c r="F143" s="3" t="s">
        <v>30</v>
      </c>
      <c r="G143" s="8">
        <v>2</v>
      </c>
      <c r="H143" s="3">
        <v>6.7000000000000004E-2</v>
      </c>
      <c r="I143" s="8">
        <f t="shared" si="6"/>
        <v>-6.1555312157721795E-2</v>
      </c>
      <c r="J143" s="3">
        <f t="shared" si="7"/>
        <v>-6.1555312157721795E-2</v>
      </c>
      <c r="K143" s="4">
        <f t="shared" si="8"/>
        <v>0</v>
      </c>
    </row>
    <row r="144" spans="1:11">
      <c r="A144" s="2" t="s">
        <v>305</v>
      </c>
      <c r="B144" s="3" t="s">
        <v>306</v>
      </c>
      <c r="C144" s="8">
        <v>65</v>
      </c>
      <c r="D144" s="8" t="s">
        <v>29</v>
      </c>
      <c r="E144" s="3">
        <v>1</v>
      </c>
      <c r="F144" s="3" t="s">
        <v>30</v>
      </c>
      <c r="G144" s="8">
        <v>3</v>
      </c>
      <c r="H144" s="3">
        <v>7.0999999999999994E-2</v>
      </c>
      <c r="I144" s="8">
        <f t="shared" si="6"/>
        <v>-5.2792990142387752E-2</v>
      </c>
      <c r="J144" s="3">
        <f t="shared" si="7"/>
        <v>-5.2792990142387752E-2</v>
      </c>
      <c r="K144" s="4">
        <f t="shared" si="8"/>
        <v>0</v>
      </c>
    </row>
    <row r="145" spans="1:11">
      <c r="A145" s="2" t="s">
        <v>307</v>
      </c>
      <c r="B145" s="3" t="s">
        <v>308</v>
      </c>
      <c r="C145" s="8">
        <v>65</v>
      </c>
      <c r="D145" s="8" t="s">
        <v>37</v>
      </c>
      <c r="E145" s="3">
        <v>1</v>
      </c>
      <c r="F145" s="3" t="s">
        <v>38</v>
      </c>
      <c r="G145" s="8">
        <v>1</v>
      </c>
      <c r="H145" s="3">
        <v>0.64400000000000002</v>
      </c>
      <c r="I145" s="8">
        <f t="shared" si="6"/>
        <v>1.2024096385542169</v>
      </c>
      <c r="J145" s="3">
        <f t="shared" si="7"/>
        <v>1.2024096385542169</v>
      </c>
      <c r="K145" s="4">
        <f t="shared" si="8"/>
        <v>1.2024096385542169</v>
      </c>
    </row>
    <row r="146" spans="1:11">
      <c r="A146" s="2" t="s">
        <v>309</v>
      </c>
      <c r="B146" s="3" t="s">
        <v>310</v>
      </c>
      <c r="C146" s="8">
        <v>65</v>
      </c>
      <c r="D146" s="8" t="s">
        <v>37</v>
      </c>
      <c r="E146" s="3">
        <v>1</v>
      </c>
      <c r="F146" s="3" t="s">
        <v>38</v>
      </c>
      <c r="G146" s="8">
        <v>2</v>
      </c>
      <c r="H146" s="3">
        <v>0.76</v>
      </c>
      <c r="I146" s="8">
        <f t="shared" si="6"/>
        <v>1.4565169769989048</v>
      </c>
      <c r="J146" s="3">
        <f t="shared" si="7"/>
        <v>1.4565169769989048</v>
      </c>
      <c r="K146" s="4">
        <f t="shared" si="8"/>
        <v>1.4565169769989048</v>
      </c>
    </row>
    <row r="147" spans="1:11">
      <c r="A147" s="2" t="s">
        <v>311</v>
      </c>
      <c r="B147" s="3" t="s">
        <v>312</v>
      </c>
      <c r="C147" s="8">
        <v>65</v>
      </c>
      <c r="D147" s="8" t="s">
        <v>37</v>
      </c>
      <c r="E147" s="3">
        <v>1</v>
      </c>
      <c r="F147" s="3" t="s">
        <v>38</v>
      </c>
      <c r="G147" s="8">
        <v>3</v>
      </c>
      <c r="H147" s="3">
        <v>0.70799999999999996</v>
      </c>
      <c r="I147" s="8">
        <f t="shared" si="6"/>
        <v>1.3426067907995618</v>
      </c>
      <c r="J147" s="3">
        <f t="shared" si="7"/>
        <v>1.3426067907995618</v>
      </c>
      <c r="K147" s="4">
        <f t="shared" si="8"/>
        <v>1.3426067907995618</v>
      </c>
    </row>
    <row r="148" spans="1:11">
      <c r="A148" s="2" t="s">
        <v>313</v>
      </c>
      <c r="B148" s="3" t="s">
        <v>314</v>
      </c>
      <c r="C148" s="8">
        <v>65</v>
      </c>
      <c r="D148" s="8" t="s">
        <v>45</v>
      </c>
      <c r="E148" s="3">
        <v>1</v>
      </c>
      <c r="F148" s="3" t="s">
        <v>46</v>
      </c>
      <c r="G148" s="8">
        <v>1</v>
      </c>
      <c r="H148" s="3">
        <v>0.156</v>
      </c>
      <c r="I148" s="8">
        <f t="shared" si="6"/>
        <v>0.1334063526834611</v>
      </c>
      <c r="J148" s="3">
        <f t="shared" si="7"/>
        <v>0.1334063526834611</v>
      </c>
      <c r="K148" s="4">
        <f t="shared" si="8"/>
        <v>0.1334063526834611</v>
      </c>
    </row>
    <row r="149" spans="1:11">
      <c r="A149" s="2" t="s">
        <v>315</v>
      </c>
      <c r="B149" s="3" t="s">
        <v>316</v>
      </c>
      <c r="C149" s="8">
        <v>65</v>
      </c>
      <c r="D149" s="8" t="s">
        <v>45</v>
      </c>
      <c r="E149" s="3">
        <v>1</v>
      </c>
      <c r="F149" s="3" t="s">
        <v>46</v>
      </c>
      <c r="G149" s="8">
        <v>2</v>
      </c>
      <c r="H149" s="3">
        <v>0.13500000000000001</v>
      </c>
      <c r="I149" s="8">
        <f t="shared" si="6"/>
        <v>8.7404162102957289E-2</v>
      </c>
      <c r="J149" s="3">
        <f t="shared" si="7"/>
        <v>8.7404162102957289E-2</v>
      </c>
      <c r="K149" s="4">
        <f t="shared" si="8"/>
        <v>8.7404162102957289E-2</v>
      </c>
    </row>
    <row r="150" spans="1:11">
      <c r="A150" s="2" t="s">
        <v>317</v>
      </c>
      <c r="B150" s="3" t="s">
        <v>318</v>
      </c>
      <c r="C150" s="8">
        <v>65</v>
      </c>
      <c r="D150" s="8" t="s">
        <v>45</v>
      </c>
      <c r="E150" s="3">
        <v>1</v>
      </c>
      <c r="F150" s="3" t="s">
        <v>46</v>
      </c>
      <c r="G150" s="8">
        <v>3</v>
      </c>
      <c r="H150" s="3">
        <v>0.153</v>
      </c>
      <c r="I150" s="8">
        <f t="shared" si="6"/>
        <v>0.12683461117196054</v>
      </c>
      <c r="J150" s="3">
        <f t="shared" si="7"/>
        <v>0.12683461117196054</v>
      </c>
      <c r="K150" s="4">
        <f t="shared" si="8"/>
        <v>0.12683461117196054</v>
      </c>
    </row>
    <row r="151" spans="1:11">
      <c r="A151" s="2" t="s">
        <v>319</v>
      </c>
      <c r="B151" s="3" t="s">
        <v>320</v>
      </c>
      <c r="C151" s="8">
        <v>73</v>
      </c>
      <c r="D151" s="8" t="s">
        <v>13</v>
      </c>
      <c r="E151" s="3">
        <v>1</v>
      </c>
      <c r="F151" s="3" t="s">
        <v>14</v>
      </c>
      <c r="G151" s="8">
        <v>1</v>
      </c>
      <c r="H151" s="3">
        <v>6.5000000000000002E-2</v>
      </c>
      <c r="I151" s="8">
        <f t="shared" si="6"/>
        <v>-6.5936473165388823E-2</v>
      </c>
      <c r="J151" s="3">
        <f t="shared" si="7"/>
        <v>-6.5936473165388823E-2</v>
      </c>
      <c r="K151" s="4">
        <f t="shared" si="8"/>
        <v>0</v>
      </c>
    </row>
    <row r="152" spans="1:11">
      <c r="A152" s="2" t="s">
        <v>321</v>
      </c>
      <c r="B152" s="3" t="s">
        <v>322</v>
      </c>
      <c r="C152" s="8">
        <v>73</v>
      </c>
      <c r="D152" s="8" t="s">
        <v>13</v>
      </c>
      <c r="E152" s="3">
        <v>1</v>
      </c>
      <c r="F152" s="3" t="s">
        <v>14</v>
      </c>
      <c r="G152" s="8">
        <v>2</v>
      </c>
      <c r="H152" s="3">
        <v>5.6000000000000001E-2</v>
      </c>
      <c r="I152" s="8">
        <f t="shared" si="6"/>
        <v>-8.5651697699890478E-2</v>
      </c>
      <c r="J152" s="3">
        <f t="shared" si="7"/>
        <v>-8.5651697699890478E-2</v>
      </c>
      <c r="K152" s="4">
        <f t="shared" si="8"/>
        <v>0</v>
      </c>
    </row>
    <row r="153" spans="1:11">
      <c r="A153" s="2" t="s">
        <v>323</v>
      </c>
      <c r="B153" s="3" t="s">
        <v>324</v>
      </c>
      <c r="C153" s="8">
        <v>73</v>
      </c>
      <c r="D153" s="8" t="s">
        <v>13</v>
      </c>
      <c r="E153" s="3">
        <v>1</v>
      </c>
      <c r="F153" s="3" t="s">
        <v>14</v>
      </c>
      <c r="G153" s="8">
        <v>3</v>
      </c>
      <c r="H153" s="3">
        <v>5.8000000000000003E-2</v>
      </c>
      <c r="I153" s="8">
        <f t="shared" si="6"/>
        <v>-8.1270536692223436E-2</v>
      </c>
      <c r="J153" s="3">
        <f t="shared" si="7"/>
        <v>-8.1270536692223436E-2</v>
      </c>
      <c r="K153" s="4">
        <f t="shared" si="8"/>
        <v>0</v>
      </c>
    </row>
    <row r="154" spans="1:11">
      <c r="A154" s="2" t="s">
        <v>325</v>
      </c>
      <c r="B154" s="3" t="s">
        <v>326</v>
      </c>
      <c r="C154" s="8">
        <v>73</v>
      </c>
      <c r="D154" s="8" t="s">
        <v>21</v>
      </c>
      <c r="E154" s="3">
        <v>1</v>
      </c>
      <c r="F154" s="3" t="s">
        <v>22</v>
      </c>
      <c r="G154" s="8">
        <v>1</v>
      </c>
      <c r="H154" s="3">
        <v>0.12</v>
      </c>
      <c r="I154" s="8">
        <f t="shared" si="6"/>
        <v>5.4545454545454522E-2</v>
      </c>
      <c r="J154" s="3">
        <f t="shared" si="7"/>
        <v>5.4545454545454522E-2</v>
      </c>
      <c r="K154" s="4">
        <f t="shared" si="8"/>
        <v>5.4545454545454522E-2</v>
      </c>
    </row>
    <row r="155" spans="1:11">
      <c r="A155" s="2" t="s">
        <v>327</v>
      </c>
      <c r="B155" s="3" t="s">
        <v>328</v>
      </c>
      <c r="C155" s="8">
        <v>73</v>
      </c>
      <c r="D155" s="8" t="s">
        <v>21</v>
      </c>
      <c r="E155" s="3">
        <v>1</v>
      </c>
      <c r="F155" s="3" t="s">
        <v>22</v>
      </c>
      <c r="G155" s="8">
        <v>2</v>
      </c>
      <c r="H155" s="3">
        <v>0.17599999999999999</v>
      </c>
      <c r="I155" s="8">
        <f t="shared" si="6"/>
        <v>0.17721796276013141</v>
      </c>
      <c r="J155" s="3">
        <f t="shared" si="7"/>
        <v>0.17721796276013141</v>
      </c>
      <c r="K155" s="4">
        <f t="shared" si="8"/>
        <v>0.17721796276013141</v>
      </c>
    </row>
    <row r="156" spans="1:11">
      <c r="A156" s="2" t="s">
        <v>329</v>
      </c>
      <c r="B156" s="3" t="s">
        <v>330</v>
      </c>
      <c r="C156" s="8">
        <v>73</v>
      </c>
      <c r="D156" s="8" t="s">
        <v>21</v>
      </c>
      <c r="E156" s="3">
        <v>1</v>
      </c>
      <c r="F156" s="3" t="s">
        <v>22</v>
      </c>
      <c r="G156" s="8">
        <v>3</v>
      </c>
      <c r="H156" s="3">
        <v>0.183</v>
      </c>
      <c r="I156" s="8">
        <f t="shared" si="6"/>
        <v>0.19255202628696602</v>
      </c>
      <c r="J156" s="3">
        <f t="shared" si="7"/>
        <v>0.19255202628696602</v>
      </c>
      <c r="K156" s="4">
        <f t="shared" si="8"/>
        <v>0.19255202628696602</v>
      </c>
    </row>
    <row r="157" spans="1:11">
      <c r="A157" s="2" t="s">
        <v>331</v>
      </c>
      <c r="B157" s="3" t="s">
        <v>332</v>
      </c>
      <c r="C157" s="8">
        <v>73</v>
      </c>
      <c r="D157" s="8" t="s">
        <v>29</v>
      </c>
      <c r="E157" s="3">
        <v>1</v>
      </c>
      <c r="F157" s="3" t="s">
        <v>30</v>
      </c>
      <c r="G157" s="8">
        <v>1</v>
      </c>
      <c r="H157" s="3">
        <v>7.1999999999999995E-2</v>
      </c>
      <c r="I157" s="8">
        <f t="shared" si="6"/>
        <v>-5.0602409638554238E-2</v>
      </c>
      <c r="J157" s="3">
        <f t="shared" si="7"/>
        <v>-5.0602409638554238E-2</v>
      </c>
      <c r="K157" s="4">
        <f t="shared" si="8"/>
        <v>0</v>
      </c>
    </row>
    <row r="158" spans="1:11">
      <c r="A158" s="2" t="s">
        <v>333</v>
      </c>
      <c r="B158" s="3" t="s">
        <v>334</v>
      </c>
      <c r="C158" s="8">
        <v>73</v>
      </c>
      <c r="D158" s="8" t="s">
        <v>29</v>
      </c>
      <c r="E158" s="3">
        <v>1</v>
      </c>
      <c r="F158" s="3" t="s">
        <v>30</v>
      </c>
      <c r="G158" s="8">
        <v>2</v>
      </c>
      <c r="H158" s="3">
        <v>7.8E-2</v>
      </c>
      <c r="I158" s="8">
        <f t="shared" si="6"/>
        <v>-3.7458926615553126E-2</v>
      </c>
      <c r="J158" s="3">
        <f t="shared" si="7"/>
        <v>-3.7458926615553126E-2</v>
      </c>
      <c r="K158" s="4">
        <f t="shared" si="8"/>
        <v>0</v>
      </c>
    </row>
    <row r="159" spans="1:11">
      <c r="A159" s="2" t="s">
        <v>335</v>
      </c>
      <c r="B159" s="3" t="s">
        <v>336</v>
      </c>
      <c r="C159" s="8">
        <v>73</v>
      </c>
      <c r="D159" s="8" t="s">
        <v>29</v>
      </c>
      <c r="E159" s="3">
        <v>1</v>
      </c>
      <c r="F159" s="3" t="s">
        <v>30</v>
      </c>
      <c r="G159" s="8">
        <v>3</v>
      </c>
      <c r="H159" s="3">
        <v>0.113</v>
      </c>
      <c r="I159" s="8">
        <f t="shared" si="6"/>
        <v>3.921139101861993E-2</v>
      </c>
      <c r="J159" s="3">
        <f t="shared" si="7"/>
        <v>3.921139101861993E-2</v>
      </c>
      <c r="K159" s="4">
        <f t="shared" si="8"/>
        <v>3.921139101861993E-2</v>
      </c>
    </row>
    <row r="160" spans="1:11">
      <c r="A160" s="2" t="s">
        <v>337</v>
      </c>
      <c r="B160" s="3" t="s">
        <v>338</v>
      </c>
      <c r="C160" s="8">
        <v>73</v>
      </c>
      <c r="D160" s="8" t="s">
        <v>37</v>
      </c>
      <c r="E160" s="3">
        <v>1</v>
      </c>
      <c r="F160" s="3" t="s">
        <v>38</v>
      </c>
      <c r="G160" s="8">
        <v>1</v>
      </c>
      <c r="H160" s="3">
        <v>0.30599999999999999</v>
      </c>
      <c r="I160" s="8">
        <f t="shared" si="6"/>
        <v>0.46199342825848844</v>
      </c>
      <c r="J160" s="3">
        <f t="shared" si="7"/>
        <v>0.46199342825848844</v>
      </c>
      <c r="K160" s="4">
        <f t="shared" si="8"/>
        <v>0.46199342825848844</v>
      </c>
    </row>
    <row r="161" spans="1:11">
      <c r="A161" s="2" t="s">
        <v>339</v>
      </c>
      <c r="B161" s="3" t="s">
        <v>340</v>
      </c>
      <c r="C161" s="8">
        <v>73</v>
      </c>
      <c r="D161" s="8" t="s">
        <v>37</v>
      </c>
      <c r="E161" s="3">
        <v>1</v>
      </c>
      <c r="F161" s="3" t="s">
        <v>38</v>
      </c>
      <c r="G161" s="8">
        <v>2</v>
      </c>
      <c r="H161" s="3">
        <v>0.28299999999999997</v>
      </c>
      <c r="I161" s="8">
        <f t="shared" si="6"/>
        <v>0.41161007667031752</v>
      </c>
      <c r="J161" s="3">
        <f t="shared" si="7"/>
        <v>0.41161007667031752</v>
      </c>
      <c r="K161" s="4">
        <f t="shared" si="8"/>
        <v>0.41161007667031752</v>
      </c>
    </row>
    <row r="162" spans="1:11">
      <c r="A162" s="2" t="s">
        <v>341</v>
      </c>
      <c r="B162" s="3" t="s">
        <v>342</v>
      </c>
      <c r="C162" s="8">
        <v>73</v>
      </c>
      <c r="D162" s="8" t="s">
        <v>37</v>
      </c>
      <c r="E162" s="3">
        <v>1</v>
      </c>
      <c r="F162" s="3" t="s">
        <v>38</v>
      </c>
      <c r="G162" s="8">
        <v>3</v>
      </c>
      <c r="H162" s="3">
        <v>0.27200000000000002</v>
      </c>
      <c r="I162" s="8">
        <f t="shared" si="6"/>
        <v>0.38751369112814893</v>
      </c>
      <c r="J162" s="3">
        <f t="shared" si="7"/>
        <v>0.38751369112814893</v>
      </c>
      <c r="K162" s="4">
        <f t="shared" si="8"/>
        <v>0.38751369112814893</v>
      </c>
    </row>
    <row r="163" spans="1:11">
      <c r="A163" s="2" t="s">
        <v>343</v>
      </c>
      <c r="B163" s="3" t="s">
        <v>344</v>
      </c>
      <c r="C163" s="8">
        <v>73</v>
      </c>
      <c r="D163" s="8" t="s">
        <v>45</v>
      </c>
      <c r="E163" s="3">
        <v>1</v>
      </c>
      <c r="F163" s="3" t="s">
        <v>46</v>
      </c>
      <c r="G163" s="8">
        <v>1</v>
      </c>
      <c r="H163" s="3">
        <v>1.21E-2</v>
      </c>
      <c r="I163" s="8">
        <f t="shared" si="6"/>
        <v>-0.18181818181818182</v>
      </c>
      <c r="J163" s="3">
        <f t="shared" si="7"/>
        <v>-0.18181818181818182</v>
      </c>
      <c r="K163" s="4">
        <f t="shared" si="8"/>
        <v>0</v>
      </c>
    </row>
    <row r="164" spans="1:11">
      <c r="A164" s="2" t="s">
        <v>345</v>
      </c>
      <c r="B164" s="3" t="s">
        <v>346</v>
      </c>
      <c r="C164" s="8">
        <v>73</v>
      </c>
      <c r="D164" s="8" t="s">
        <v>45</v>
      </c>
      <c r="E164" s="3">
        <v>1</v>
      </c>
      <c r="F164" s="3" t="s">
        <v>46</v>
      </c>
      <c r="G164" s="8">
        <v>2</v>
      </c>
      <c r="H164" s="3">
        <v>0.11700000000000001</v>
      </c>
      <c r="I164" s="8">
        <f t="shared" si="6"/>
        <v>4.7973713033954E-2</v>
      </c>
      <c r="J164" s="3">
        <f t="shared" si="7"/>
        <v>4.7973713033954E-2</v>
      </c>
      <c r="K164" s="4">
        <f t="shared" si="8"/>
        <v>4.7973713033954E-2</v>
      </c>
    </row>
    <row r="165" spans="1:11">
      <c r="A165" s="2" t="s">
        <v>347</v>
      </c>
      <c r="B165" s="3" t="s">
        <v>348</v>
      </c>
      <c r="C165" s="8">
        <v>73</v>
      </c>
      <c r="D165" s="8" t="s">
        <v>45</v>
      </c>
      <c r="E165" s="3">
        <v>1</v>
      </c>
      <c r="F165" s="3" t="s">
        <v>46</v>
      </c>
      <c r="G165" s="8">
        <v>3</v>
      </c>
      <c r="H165" s="3">
        <v>0.114</v>
      </c>
      <c r="I165" s="8">
        <f t="shared" si="6"/>
        <v>4.1401971522453451E-2</v>
      </c>
      <c r="J165" s="3">
        <f t="shared" si="7"/>
        <v>4.1401971522453451E-2</v>
      </c>
      <c r="K165" s="4">
        <f t="shared" si="8"/>
        <v>4.1401971522453451E-2</v>
      </c>
    </row>
    <row r="166" spans="1:11">
      <c r="A166" s="2" t="s">
        <v>349</v>
      </c>
      <c r="B166" s="3" t="s">
        <v>350</v>
      </c>
      <c r="C166" s="8">
        <v>78</v>
      </c>
      <c r="D166" s="8" t="s">
        <v>13</v>
      </c>
      <c r="E166" s="3">
        <v>1</v>
      </c>
      <c r="F166" s="3" t="s">
        <v>14</v>
      </c>
      <c r="G166" s="8">
        <v>1</v>
      </c>
      <c r="H166" s="3">
        <v>5.1999999999999998E-2</v>
      </c>
      <c r="I166" s="8">
        <f t="shared" si="6"/>
        <v>-9.4414019715224548E-2</v>
      </c>
      <c r="J166" s="3">
        <f t="shared" si="7"/>
        <v>-9.4414019715224548E-2</v>
      </c>
      <c r="K166" s="4">
        <f t="shared" si="8"/>
        <v>0</v>
      </c>
    </row>
    <row r="167" spans="1:11">
      <c r="A167" s="2" t="s">
        <v>351</v>
      </c>
      <c r="B167" s="3" t="s">
        <v>352</v>
      </c>
      <c r="C167" s="8">
        <v>78</v>
      </c>
      <c r="D167" s="8" t="s">
        <v>13</v>
      </c>
      <c r="E167" s="3">
        <v>1</v>
      </c>
      <c r="F167" s="3" t="s">
        <v>14</v>
      </c>
      <c r="G167" s="8">
        <v>2</v>
      </c>
      <c r="H167" s="3">
        <v>5.1999999999999998E-2</v>
      </c>
      <c r="I167" s="8">
        <f t="shared" si="6"/>
        <v>-9.4414019715224548E-2</v>
      </c>
      <c r="J167" s="3">
        <f t="shared" si="7"/>
        <v>-9.4414019715224548E-2</v>
      </c>
      <c r="K167" s="4">
        <f t="shared" si="8"/>
        <v>0</v>
      </c>
    </row>
    <row r="168" spans="1:11">
      <c r="A168" s="2" t="s">
        <v>353</v>
      </c>
      <c r="B168" s="3" t="s">
        <v>354</v>
      </c>
      <c r="C168" s="8">
        <v>78</v>
      </c>
      <c r="D168" s="8" t="s">
        <v>13</v>
      </c>
      <c r="E168" s="3">
        <v>1</v>
      </c>
      <c r="F168" s="3" t="s">
        <v>14</v>
      </c>
      <c r="G168" s="8">
        <v>3</v>
      </c>
      <c r="H168" s="3">
        <v>5.3999999999999999E-2</v>
      </c>
      <c r="I168" s="8">
        <f t="shared" si="6"/>
        <v>-9.0032858707557506E-2</v>
      </c>
      <c r="J168" s="3">
        <f t="shared" si="7"/>
        <v>-9.0032858707557506E-2</v>
      </c>
      <c r="K168" s="4">
        <f t="shared" si="8"/>
        <v>0</v>
      </c>
    </row>
    <row r="169" spans="1:11">
      <c r="A169" s="2" t="s">
        <v>355</v>
      </c>
      <c r="B169" s="3" t="s">
        <v>356</v>
      </c>
      <c r="C169" s="8">
        <v>78</v>
      </c>
      <c r="D169" s="8" t="s">
        <v>21</v>
      </c>
      <c r="E169" s="3">
        <v>1</v>
      </c>
      <c r="F169" s="3" t="s">
        <v>22</v>
      </c>
      <c r="G169" s="8">
        <v>1</v>
      </c>
      <c r="H169" s="3">
        <v>0.184</v>
      </c>
      <c r="I169" s="8">
        <f t="shared" si="6"/>
        <v>0.19474260679079955</v>
      </c>
      <c r="J169" s="3">
        <f t="shared" si="7"/>
        <v>0.19474260679079955</v>
      </c>
      <c r="K169" s="4">
        <f t="shared" si="8"/>
        <v>0.19474260679079955</v>
      </c>
    </row>
    <row r="170" spans="1:11">
      <c r="A170" s="2" t="s">
        <v>357</v>
      </c>
      <c r="B170" s="3" t="s">
        <v>358</v>
      </c>
      <c r="C170" s="8">
        <v>78</v>
      </c>
      <c r="D170" s="8" t="s">
        <v>21</v>
      </c>
      <c r="E170" s="3">
        <v>1</v>
      </c>
      <c r="F170" s="3" t="s">
        <v>22</v>
      </c>
      <c r="G170" s="8">
        <v>2</v>
      </c>
      <c r="H170" s="3">
        <v>0.14899999999999999</v>
      </c>
      <c r="I170" s="8">
        <f t="shared" si="6"/>
        <v>0.11807228915662647</v>
      </c>
      <c r="J170" s="3">
        <f t="shared" si="7"/>
        <v>0.11807228915662647</v>
      </c>
      <c r="K170" s="4">
        <f t="shared" si="8"/>
        <v>0.11807228915662647</v>
      </c>
    </row>
    <row r="171" spans="1:11">
      <c r="A171" s="2" t="s">
        <v>359</v>
      </c>
      <c r="B171" s="3" t="s">
        <v>360</v>
      </c>
      <c r="C171" s="8">
        <v>78</v>
      </c>
      <c r="D171" s="8" t="s">
        <v>21</v>
      </c>
      <c r="E171" s="3">
        <v>1</v>
      </c>
      <c r="F171" s="3" t="s">
        <v>22</v>
      </c>
      <c r="G171" s="8">
        <v>3</v>
      </c>
      <c r="H171" s="3">
        <v>0.157</v>
      </c>
      <c r="I171" s="8">
        <f t="shared" si="6"/>
        <v>0.13559693318729463</v>
      </c>
      <c r="J171" s="3">
        <f t="shared" si="7"/>
        <v>0.13559693318729463</v>
      </c>
      <c r="K171" s="4">
        <f t="shared" si="8"/>
        <v>0.13559693318729463</v>
      </c>
    </row>
    <row r="172" spans="1:11">
      <c r="A172" s="2" t="s">
        <v>361</v>
      </c>
      <c r="B172" s="3" t="s">
        <v>362</v>
      </c>
      <c r="C172" s="8">
        <v>78</v>
      </c>
      <c r="D172" s="8" t="s">
        <v>29</v>
      </c>
      <c r="E172" s="3">
        <v>1</v>
      </c>
      <c r="F172" s="3" t="s">
        <v>30</v>
      </c>
      <c r="G172" s="8">
        <v>1</v>
      </c>
      <c r="H172" s="3">
        <v>7.5999999999999998E-2</v>
      </c>
      <c r="I172" s="8">
        <f t="shared" si="6"/>
        <v>-4.1840087623220168E-2</v>
      </c>
      <c r="J172" s="3">
        <f t="shared" si="7"/>
        <v>-4.1840087623220168E-2</v>
      </c>
      <c r="K172" s="4">
        <f t="shared" si="8"/>
        <v>0</v>
      </c>
    </row>
    <row r="173" spans="1:11">
      <c r="A173" s="2" t="s">
        <v>363</v>
      </c>
      <c r="B173" s="3" t="s">
        <v>364</v>
      </c>
      <c r="C173" s="8">
        <v>78</v>
      </c>
      <c r="D173" s="8" t="s">
        <v>29</v>
      </c>
      <c r="E173" s="3">
        <v>1</v>
      </c>
      <c r="F173" s="3" t="s">
        <v>30</v>
      </c>
      <c r="G173" s="8">
        <v>2</v>
      </c>
      <c r="H173" s="3">
        <v>8.3000000000000004E-2</v>
      </c>
      <c r="I173" s="8">
        <f t="shared" si="6"/>
        <v>-2.6506024096385541E-2</v>
      </c>
      <c r="J173" s="3">
        <f t="shared" si="7"/>
        <v>-2.6506024096385541E-2</v>
      </c>
      <c r="K173" s="4">
        <f t="shared" si="8"/>
        <v>0</v>
      </c>
    </row>
    <row r="174" spans="1:11">
      <c r="A174" s="2" t="s">
        <v>365</v>
      </c>
      <c r="B174" s="3" t="s">
        <v>366</v>
      </c>
      <c r="C174" s="8">
        <v>78</v>
      </c>
      <c r="D174" s="8" t="s">
        <v>29</v>
      </c>
      <c r="E174" s="3">
        <v>1</v>
      </c>
      <c r="F174" s="3" t="s">
        <v>30</v>
      </c>
      <c r="G174" s="8">
        <v>3</v>
      </c>
      <c r="H174" s="3">
        <v>7.5999999999999998E-2</v>
      </c>
      <c r="I174" s="8">
        <f t="shared" si="6"/>
        <v>-4.1840087623220168E-2</v>
      </c>
      <c r="J174" s="3">
        <f t="shared" si="7"/>
        <v>-4.1840087623220168E-2</v>
      </c>
      <c r="K174" s="4">
        <f t="shared" si="8"/>
        <v>0</v>
      </c>
    </row>
    <row r="175" spans="1:11">
      <c r="A175" s="2" t="s">
        <v>367</v>
      </c>
      <c r="B175" s="3" t="s">
        <v>368</v>
      </c>
      <c r="C175" s="8">
        <v>78</v>
      </c>
      <c r="D175" s="8" t="s">
        <v>37</v>
      </c>
      <c r="E175" s="3">
        <v>1</v>
      </c>
      <c r="F175" s="3" t="s">
        <v>38</v>
      </c>
      <c r="G175" s="8">
        <v>1</v>
      </c>
      <c r="H175" s="3">
        <v>0.40899999999999997</v>
      </c>
      <c r="I175" s="8">
        <f t="shared" si="6"/>
        <v>0.68762322015334054</v>
      </c>
      <c r="J175" s="3">
        <f t="shared" si="7"/>
        <v>0.68762322015334054</v>
      </c>
      <c r="K175" s="4">
        <f t="shared" si="8"/>
        <v>0.68762322015334054</v>
      </c>
    </row>
    <row r="176" spans="1:11">
      <c r="A176" s="2" t="s">
        <v>369</v>
      </c>
      <c r="B176" s="3" t="s">
        <v>370</v>
      </c>
      <c r="C176" s="8">
        <v>78</v>
      </c>
      <c r="D176" s="8" t="s">
        <v>37</v>
      </c>
      <c r="E176" s="3">
        <v>1</v>
      </c>
      <c r="F176" s="3" t="s">
        <v>38</v>
      </c>
      <c r="G176" s="8">
        <v>2</v>
      </c>
      <c r="H176" s="3">
        <v>0.35699999999999998</v>
      </c>
      <c r="I176" s="8">
        <f t="shared" si="6"/>
        <v>0.57371303395399775</v>
      </c>
      <c r="J176" s="3">
        <f t="shared" si="7"/>
        <v>0.57371303395399775</v>
      </c>
      <c r="K176" s="4">
        <f t="shared" si="8"/>
        <v>0.57371303395399775</v>
      </c>
    </row>
    <row r="177" spans="1:20">
      <c r="A177" s="2" t="s">
        <v>371</v>
      </c>
      <c r="B177" s="3" t="s">
        <v>372</v>
      </c>
      <c r="C177" s="8">
        <v>78</v>
      </c>
      <c r="D177" s="8" t="s">
        <v>37</v>
      </c>
      <c r="E177" s="3">
        <v>1</v>
      </c>
      <c r="F177" s="3" t="s">
        <v>38</v>
      </c>
      <c r="G177" s="8">
        <v>3</v>
      </c>
      <c r="H177" s="3">
        <v>0.307</v>
      </c>
      <c r="I177" s="8">
        <f t="shared" si="6"/>
        <v>0.46418400876232196</v>
      </c>
      <c r="J177" s="3">
        <f t="shared" si="7"/>
        <v>0.46418400876232196</v>
      </c>
      <c r="K177" s="4">
        <f t="shared" si="8"/>
        <v>0.46418400876232196</v>
      </c>
    </row>
    <row r="178" spans="1:20">
      <c r="A178" s="2" t="s">
        <v>373</v>
      </c>
      <c r="B178" s="3" t="s">
        <v>374</v>
      </c>
      <c r="C178" s="8">
        <v>78</v>
      </c>
      <c r="D178" s="8" t="s">
        <v>45</v>
      </c>
      <c r="E178" s="3">
        <v>1</v>
      </c>
      <c r="F178" s="3" t="s">
        <v>46</v>
      </c>
      <c r="G178" s="8">
        <v>1</v>
      </c>
      <c r="H178" s="3">
        <v>0.13500000000000001</v>
      </c>
      <c r="I178" s="8">
        <f t="shared" si="6"/>
        <v>8.7404162102957289E-2</v>
      </c>
      <c r="J178" s="3">
        <f t="shared" si="7"/>
        <v>8.7404162102957289E-2</v>
      </c>
      <c r="K178" s="4">
        <f t="shared" si="8"/>
        <v>8.7404162102957289E-2</v>
      </c>
    </row>
    <row r="179" spans="1:20">
      <c r="A179" s="2" t="s">
        <v>375</v>
      </c>
      <c r="B179" s="3" t="s">
        <v>376</v>
      </c>
      <c r="C179" s="8">
        <v>78</v>
      </c>
      <c r="D179" s="8" t="s">
        <v>45</v>
      </c>
      <c r="E179" s="3">
        <v>1</v>
      </c>
      <c r="F179" s="3" t="s">
        <v>46</v>
      </c>
      <c r="G179" s="8">
        <v>2</v>
      </c>
      <c r="H179" s="3">
        <v>0.12</v>
      </c>
      <c r="I179" s="8">
        <f t="shared" si="6"/>
        <v>5.4545454545454522E-2</v>
      </c>
      <c r="J179" s="3">
        <f t="shared" si="7"/>
        <v>5.4545454545454522E-2</v>
      </c>
      <c r="K179" s="4">
        <f t="shared" si="8"/>
        <v>5.4545454545454522E-2</v>
      </c>
    </row>
    <row r="180" spans="1:20">
      <c r="A180" s="2" t="s">
        <v>377</v>
      </c>
      <c r="B180" s="3" t="s">
        <v>378</v>
      </c>
      <c r="C180" s="8">
        <v>78</v>
      </c>
      <c r="D180" s="8" t="s">
        <v>45</v>
      </c>
      <c r="E180" s="3">
        <v>1</v>
      </c>
      <c r="F180" s="3" t="s">
        <v>46</v>
      </c>
      <c r="G180" s="8">
        <v>3</v>
      </c>
      <c r="H180" s="3">
        <v>0.12</v>
      </c>
      <c r="I180" s="8">
        <f t="shared" si="6"/>
        <v>5.4545454545454522E-2</v>
      </c>
      <c r="J180" s="3">
        <f t="shared" si="7"/>
        <v>5.4545454545454522E-2</v>
      </c>
      <c r="K180" s="4">
        <f t="shared" si="8"/>
        <v>5.4545454545454522E-2</v>
      </c>
    </row>
    <row r="181" spans="1:20">
      <c r="A181" s="2" t="s">
        <v>379</v>
      </c>
      <c r="B181" s="3" t="s">
        <v>380</v>
      </c>
      <c r="C181" s="8">
        <v>88</v>
      </c>
      <c r="D181" s="8" t="s">
        <v>13</v>
      </c>
      <c r="E181" s="3">
        <v>1</v>
      </c>
      <c r="F181" s="3" t="s">
        <v>14</v>
      </c>
      <c r="G181" s="8">
        <v>1</v>
      </c>
      <c r="H181" s="3">
        <v>5.1999999999999998E-2</v>
      </c>
      <c r="I181" s="8">
        <f t="shared" si="6"/>
        <v>-9.4414019715224548E-2</v>
      </c>
      <c r="J181" s="3">
        <f t="shared" si="7"/>
        <v>-9.4414019715224548E-2</v>
      </c>
      <c r="K181" s="4">
        <f t="shared" si="8"/>
        <v>0</v>
      </c>
    </row>
    <row r="182" spans="1:20">
      <c r="A182" s="2" t="s">
        <v>381</v>
      </c>
      <c r="B182" s="3" t="s">
        <v>382</v>
      </c>
      <c r="C182" s="8">
        <v>88</v>
      </c>
      <c r="D182" s="8" t="s">
        <v>13</v>
      </c>
      <c r="E182" s="3">
        <v>1</v>
      </c>
      <c r="F182" s="3" t="s">
        <v>14</v>
      </c>
      <c r="G182" s="8">
        <v>2</v>
      </c>
      <c r="H182" s="3">
        <v>0.05</v>
      </c>
      <c r="I182" s="8">
        <f t="shared" si="6"/>
        <v>-9.8795180722891562E-2</v>
      </c>
      <c r="J182" s="3">
        <f t="shared" si="7"/>
        <v>-9.8795180722891562E-2</v>
      </c>
      <c r="K182" s="4">
        <f t="shared" si="8"/>
        <v>0</v>
      </c>
    </row>
    <row r="183" spans="1:20">
      <c r="A183" s="2" t="s">
        <v>383</v>
      </c>
      <c r="B183" s="3" t="s">
        <v>384</v>
      </c>
      <c r="C183" s="8">
        <v>88</v>
      </c>
      <c r="D183" s="8" t="s">
        <v>13</v>
      </c>
      <c r="E183" s="3">
        <v>1</v>
      </c>
      <c r="F183" s="3" t="s">
        <v>14</v>
      </c>
      <c r="G183" s="8">
        <v>3</v>
      </c>
      <c r="H183" s="3">
        <v>5.0999999999999997E-2</v>
      </c>
      <c r="I183" s="8">
        <f t="shared" si="6"/>
        <v>-9.6604600219058062E-2</v>
      </c>
      <c r="J183" s="3">
        <f t="shared" si="7"/>
        <v>-9.6604600219058062E-2</v>
      </c>
      <c r="K183" s="4">
        <f t="shared" si="8"/>
        <v>0</v>
      </c>
      <c r="L183" s="5"/>
      <c r="M183" s="5"/>
      <c r="N183" s="5"/>
      <c r="O183" s="5"/>
      <c r="P183" s="5"/>
      <c r="Q183" s="5"/>
      <c r="R183" s="5"/>
      <c r="S183" s="5"/>
      <c r="T183" s="5"/>
    </row>
    <row r="184" spans="1:20">
      <c r="A184" s="2" t="s">
        <v>385</v>
      </c>
      <c r="B184" s="3" t="s">
        <v>386</v>
      </c>
      <c r="C184" s="8">
        <v>88</v>
      </c>
      <c r="D184" s="8" t="s">
        <v>21</v>
      </c>
      <c r="E184" s="3">
        <v>1</v>
      </c>
      <c r="F184" s="3" t="s">
        <v>22</v>
      </c>
      <c r="G184" s="8">
        <v>1</v>
      </c>
      <c r="H184" s="3">
        <v>9.9000000000000005E-2</v>
      </c>
      <c r="I184" s="8">
        <f t="shared" si="6"/>
        <v>8.5432639649507137E-3</v>
      </c>
      <c r="J184" s="3">
        <f t="shared" si="7"/>
        <v>8.5432639649507137E-3</v>
      </c>
      <c r="K184" s="4">
        <f t="shared" si="8"/>
        <v>8.5432639649507137E-3</v>
      </c>
      <c r="L184" s="4"/>
      <c r="M184" s="4"/>
      <c r="N184" s="4"/>
      <c r="O184" s="4"/>
      <c r="P184" s="4"/>
      <c r="Q184" s="4"/>
      <c r="R184" s="4"/>
      <c r="S184" s="4"/>
      <c r="T184" s="4"/>
    </row>
    <row r="185" spans="1:20">
      <c r="A185" s="2" t="s">
        <v>387</v>
      </c>
      <c r="B185" s="3" t="s">
        <v>388</v>
      </c>
      <c r="C185" s="8">
        <v>88</v>
      </c>
      <c r="D185" s="8" t="s">
        <v>21</v>
      </c>
      <c r="E185" s="3">
        <v>1</v>
      </c>
      <c r="F185" s="3" t="s">
        <v>22</v>
      </c>
      <c r="G185" s="8">
        <v>2</v>
      </c>
      <c r="H185" s="3">
        <v>0.10199999999999999</v>
      </c>
      <c r="I185" s="8">
        <f t="shared" si="6"/>
        <v>1.5115005476451235E-2</v>
      </c>
      <c r="J185" s="3">
        <f t="shared" si="7"/>
        <v>1.5115005476451235E-2</v>
      </c>
      <c r="K185" s="4">
        <f t="shared" si="8"/>
        <v>1.5115005476451235E-2</v>
      </c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2" t="s">
        <v>389</v>
      </c>
      <c r="B186" s="3" t="s">
        <v>390</v>
      </c>
      <c r="C186" s="8">
        <v>88</v>
      </c>
      <c r="D186" s="8" t="s">
        <v>21</v>
      </c>
      <c r="E186" s="3">
        <v>1</v>
      </c>
      <c r="F186" s="3" t="s">
        <v>22</v>
      </c>
      <c r="G186" s="8">
        <v>3</v>
      </c>
      <c r="H186" s="3">
        <v>0.107</v>
      </c>
      <c r="I186" s="8">
        <f t="shared" si="6"/>
        <v>2.6067907995618825E-2</v>
      </c>
      <c r="J186" s="3">
        <f t="shared" si="7"/>
        <v>2.6067907995618825E-2</v>
      </c>
      <c r="K186" s="4">
        <f t="shared" si="8"/>
        <v>2.6067907995618825E-2</v>
      </c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2" t="s">
        <v>391</v>
      </c>
      <c r="B187" s="3" t="s">
        <v>392</v>
      </c>
      <c r="C187" s="8">
        <v>88</v>
      </c>
      <c r="D187" s="8" t="s">
        <v>29</v>
      </c>
      <c r="E187" s="3">
        <v>1</v>
      </c>
      <c r="F187" s="3" t="s">
        <v>30</v>
      </c>
      <c r="G187" s="8">
        <v>1</v>
      </c>
      <c r="H187" s="3">
        <v>6.0999999999999999E-2</v>
      </c>
      <c r="I187" s="8">
        <f t="shared" si="6"/>
        <v>-7.4698795180722907E-2</v>
      </c>
      <c r="J187" s="3">
        <f t="shared" si="7"/>
        <v>-7.4698795180722907E-2</v>
      </c>
      <c r="K187" s="4">
        <f t="shared" si="8"/>
        <v>0</v>
      </c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2" t="s">
        <v>393</v>
      </c>
      <c r="B188" s="3" t="s">
        <v>394</v>
      </c>
      <c r="C188" s="8">
        <v>88</v>
      </c>
      <c r="D188" s="8" t="s">
        <v>29</v>
      </c>
      <c r="E188" s="3">
        <v>1</v>
      </c>
      <c r="F188" s="3" t="s">
        <v>30</v>
      </c>
      <c r="G188" s="8">
        <v>2</v>
      </c>
      <c r="H188" s="3">
        <v>0.06</v>
      </c>
      <c r="I188" s="8">
        <f t="shared" si="6"/>
        <v>-7.6889375684556421E-2</v>
      </c>
      <c r="J188" s="3">
        <f t="shared" si="7"/>
        <v>-7.6889375684556421E-2</v>
      </c>
      <c r="K188" s="4">
        <f t="shared" si="8"/>
        <v>0</v>
      </c>
    </row>
    <row r="189" spans="1:20">
      <c r="A189" s="2" t="s">
        <v>395</v>
      </c>
      <c r="B189" s="3" t="s">
        <v>396</v>
      </c>
      <c r="C189" s="8">
        <v>88</v>
      </c>
      <c r="D189" s="8" t="s">
        <v>29</v>
      </c>
      <c r="E189" s="3">
        <v>1</v>
      </c>
      <c r="F189" s="3" t="s">
        <v>30</v>
      </c>
      <c r="G189" s="8">
        <v>3</v>
      </c>
      <c r="H189" s="3">
        <v>4.7E-2</v>
      </c>
      <c r="I189" s="8">
        <f t="shared" si="6"/>
        <v>-0.10536692223439212</v>
      </c>
      <c r="J189" s="3">
        <f t="shared" si="7"/>
        <v>-0.10536692223439212</v>
      </c>
      <c r="K189" s="4">
        <f t="shared" si="8"/>
        <v>0</v>
      </c>
    </row>
    <row r="190" spans="1:20">
      <c r="A190" s="2" t="s">
        <v>397</v>
      </c>
      <c r="B190" s="3" t="s">
        <v>398</v>
      </c>
      <c r="C190" s="8">
        <v>88</v>
      </c>
      <c r="D190" s="8" t="s">
        <v>37</v>
      </c>
      <c r="E190" s="3">
        <v>1</v>
      </c>
      <c r="F190" s="3" t="s">
        <v>38</v>
      </c>
      <c r="G190" s="8">
        <v>1</v>
      </c>
      <c r="H190" s="3">
        <v>0.31900000000000001</v>
      </c>
      <c r="I190" s="8">
        <f t="shared" si="6"/>
        <v>0.49047097480832413</v>
      </c>
      <c r="J190" s="3">
        <f t="shared" si="7"/>
        <v>0.49047097480832413</v>
      </c>
      <c r="K190" s="4">
        <f t="shared" si="8"/>
        <v>0.49047097480832413</v>
      </c>
    </row>
    <row r="191" spans="1:20">
      <c r="A191" s="2" t="s">
        <v>399</v>
      </c>
      <c r="B191" s="3" t="s">
        <v>400</v>
      </c>
      <c r="C191" s="8">
        <v>88</v>
      </c>
      <c r="D191" s="8" t="s">
        <v>37</v>
      </c>
      <c r="E191" s="3">
        <v>1</v>
      </c>
      <c r="F191" s="3" t="s">
        <v>38</v>
      </c>
      <c r="G191" s="8">
        <v>2</v>
      </c>
      <c r="H191" s="3">
        <v>0.36199999999999999</v>
      </c>
      <c r="I191" s="8">
        <f t="shared" si="6"/>
        <v>0.58466593647316534</v>
      </c>
      <c r="J191" s="3">
        <f t="shared" si="7"/>
        <v>0.58466593647316534</v>
      </c>
      <c r="K191" s="4">
        <f t="shared" si="8"/>
        <v>0.58466593647316534</v>
      </c>
    </row>
    <row r="192" spans="1:20">
      <c r="A192" s="2" t="s">
        <v>401</v>
      </c>
      <c r="B192" s="3" t="s">
        <v>402</v>
      </c>
      <c r="C192" s="8">
        <v>88</v>
      </c>
      <c r="D192" s="8" t="s">
        <v>37</v>
      </c>
      <c r="E192" s="3">
        <v>1</v>
      </c>
      <c r="F192" s="3" t="s">
        <v>38</v>
      </c>
      <c r="G192" s="8">
        <v>3</v>
      </c>
      <c r="H192" s="3">
        <v>0.29599999999999999</v>
      </c>
      <c r="I192" s="8">
        <f t="shared" si="6"/>
        <v>0.44008762322015327</v>
      </c>
      <c r="J192" s="3">
        <f t="shared" si="7"/>
        <v>0.44008762322015327</v>
      </c>
      <c r="K192" s="4">
        <f t="shared" si="8"/>
        <v>0.44008762322015327</v>
      </c>
    </row>
    <row r="193" spans="1:15">
      <c r="A193" s="2" t="s">
        <v>403</v>
      </c>
      <c r="B193" s="3" t="s">
        <v>404</v>
      </c>
      <c r="C193" s="8">
        <v>88</v>
      </c>
      <c r="D193" s="8" t="s">
        <v>45</v>
      </c>
      <c r="E193" s="3">
        <v>1</v>
      </c>
      <c r="F193" s="3" t="s">
        <v>46</v>
      </c>
      <c r="G193" s="8">
        <v>1</v>
      </c>
      <c r="H193" s="3">
        <v>9.7000000000000003E-2</v>
      </c>
      <c r="I193" s="8">
        <f t="shared" ref="I193:I197" si="9">(H193-0.0951)/0.4565</f>
        <v>4.1621029572836777E-3</v>
      </c>
      <c r="J193" s="3">
        <f t="shared" si="7"/>
        <v>4.1621029572836777E-3</v>
      </c>
      <c r="K193" s="4">
        <f t="shared" si="8"/>
        <v>4.1621029572836777E-3</v>
      </c>
      <c r="L193" s="4"/>
      <c r="M193" s="4"/>
      <c r="N193" s="4"/>
      <c r="O193" s="4"/>
    </row>
    <row r="194" spans="1:15">
      <c r="A194" s="2" t="s">
        <v>405</v>
      </c>
      <c r="B194" s="3" t="s">
        <v>406</v>
      </c>
      <c r="C194" s="8">
        <v>88</v>
      </c>
      <c r="D194" s="8" t="s">
        <v>45</v>
      </c>
      <c r="E194" s="3">
        <v>1</v>
      </c>
      <c r="F194" s="3" t="s">
        <v>46</v>
      </c>
      <c r="G194" s="8">
        <v>2</v>
      </c>
      <c r="H194" s="3">
        <v>9.4E-2</v>
      </c>
      <c r="I194" s="8">
        <f t="shared" si="9"/>
        <v>-2.4096385542168755E-3</v>
      </c>
      <c r="J194" s="3">
        <f t="shared" ref="J194:J196" si="10">I194*E194</f>
        <v>-2.4096385542168755E-3</v>
      </c>
      <c r="K194" s="4">
        <f t="shared" ref="K194:K197" si="11">IF(J194 &lt; 0, 0, J194)</f>
        <v>0</v>
      </c>
    </row>
    <row r="195" spans="1:15">
      <c r="A195" s="2" t="s">
        <v>407</v>
      </c>
      <c r="B195" s="3" t="s">
        <v>408</v>
      </c>
      <c r="C195" s="8">
        <v>88</v>
      </c>
      <c r="D195" s="8" t="s">
        <v>45</v>
      </c>
      <c r="E195" s="3">
        <v>1</v>
      </c>
      <c r="F195" s="3" t="s">
        <v>46</v>
      </c>
      <c r="G195" s="8">
        <v>3</v>
      </c>
      <c r="H195" s="3">
        <v>9.8000000000000004E-2</v>
      </c>
      <c r="I195" s="8">
        <f t="shared" si="9"/>
        <v>6.3526834611171952E-3</v>
      </c>
      <c r="J195" s="3">
        <f t="shared" si="10"/>
        <v>6.3526834611171952E-3</v>
      </c>
      <c r="K195" s="4">
        <f t="shared" si="11"/>
        <v>6.3526834611171952E-3</v>
      </c>
    </row>
    <row r="196" spans="1:15">
      <c r="A196" s="2" t="s">
        <v>409</v>
      </c>
      <c r="B196" s="3" t="s">
        <v>410</v>
      </c>
      <c r="C196" s="8">
        <v>37</v>
      </c>
      <c r="D196" s="8" t="s">
        <v>21</v>
      </c>
      <c r="E196" s="3">
        <v>1</v>
      </c>
      <c r="F196" s="3" t="s">
        <v>22</v>
      </c>
      <c r="G196" s="8">
        <v>1</v>
      </c>
      <c r="H196" s="3">
        <v>0.151</v>
      </c>
      <c r="I196" s="8">
        <f t="shared" si="9"/>
        <v>0.12245345016429351</v>
      </c>
      <c r="J196" s="3">
        <f t="shared" si="10"/>
        <v>0.12245345016429351</v>
      </c>
      <c r="K196" s="4">
        <f t="shared" si="11"/>
        <v>0.12245345016429351</v>
      </c>
    </row>
    <row r="197" spans="1:15">
      <c r="A197" s="2" t="s">
        <v>411</v>
      </c>
      <c r="B197" s="3" t="s">
        <v>412</v>
      </c>
      <c r="C197" s="8">
        <v>15</v>
      </c>
      <c r="D197" s="8" t="s">
        <v>413</v>
      </c>
      <c r="E197" s="8">
        <v>2</v>
      </c>
      <c r="F197" s="8" t="s">
        <v>38</v>
      </c>
      <c r="G197" s="8">
        <v>1</v>
      </c>
      <c r="H197" s="3">
        <v>0.52700000000000002</v>
      </c>
      <c r="I197" s="8">
        <f t="shared" si="9"/>
        <v>0.94611171960569551</v>
      </c>
      <c r="J197" s="8">
        <f>I197*E197</f>
        <v>1.892223439211391</v>
      </c>
      <c r="K197" s="4">
        <f t="shared" si="11"/>
        <v>1.892223439211391</v>
      </c>
    </row>
  </sheetData>
  <pageMargins left="0.7" right="0.7" top="0.75" bottom="0.75" header="0.3" footer="0.3"/>
  <pageSetup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57467-7640-40D4-B75C-FAE2B3A3F165}">
  <sheetPr>
    <pageSetUpPr fitToPage="1"/>
  </sheetPr>
  <dimension ref="A1:T201"/>
  <sheetViews>
    <sheetView topLeftCell="A21" workbookViewId="0">
      <selection activeCell="H202" sqref="H202"/>
    </sheetView>
  </sheetViews>
  <sheetFormatPr defaultColWidth="10.7109375" defaultRowHeight="15"/>
  <cols>
    <col min="1" max="1" width="15.140625" style="5" customWidth="1"/>
    <col min="2" max="2" width="21" customWidth="1"/>
    <col min="5" max="5" width="14.42578125" customWidth="1"/>
    <col min="6" max="6" width="13.140625" customWidth="1"/>
    <col min="8" max="8" width="17.85546875" customWidth="1"/>
    <col min="9" max="9" width="15.28515625" customWidth="1"/>
    <col min="10" max="10" width="18.42578125" customWidth="1"/>
  </cols>
  <sheetData>
    <row r="1" spans="1:17" s="15" customFormat="1" ht="45">
      <c r="A1" s="12" t="s">
        <v>0</v>
      </c>
      <c r="B1" s="13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10</v>
      </c>
      <c r="L1" s="14"/>
      <c r="M1" s="14"/>
      <c r="N1" s="14"/>
      <c r="O1" s="14"/>
      <c r="P1" s="14"/>
      <c r="Q1" s="14"/>
    </row>
    <row r="2" spans="1:17">
      <c r="A2" s="2" t="s">
        <v>11</v>
      </c>
      <c r="B2" s="3" t="s">
        <v>12</v>
      </c>
      <c r="C2" s="8">
        <v>0</v>
      </c>
      <c r="D2" s="9" t="s">
        <v>13</v>
      </c>
      <c r="E2" s="3">
        <v>1</v>
      </c>
      <c r="F2" s="3" t="s">
        <v>14</v>
      </c>
      <c r="G2" s="10">
        <v>1</v>
      </c>
      <c r="H2" s="3">
        <v>5.5E-2</v>
      </c>
      <c r="I2" s="8">
        <f t="shared" ref="I2:I60" si="0">(H2-0.0951)/0.4565</f>
        <v>-8.7842278203723992E-2</v>
      </c>
      <c r="J2" s="3">
        <f>I2*E2</f>
        <v>-8.7842278203723992E-2</v>
      </c>
      <c r="K2" s="4">
        <f>IF(J2 &lt; 0, 0, J2)</f>
        <v>0</v>
      </c>
      <c r="L2" s="4"/>
      <c r="M2" s="4"/>
      <c r="N2" s="4"/>
      <c r="O2" s="4"/>
      <c r="P2" s="4"/>
      <c r="Q2" s="4"/>
    </row>
    <row r="3" spans="1:17">
      <c r="A3" s="2" t="s">
        <v>15</v>
      </c>
      <c r="B3" s="3" t="s">
        <v>16</v>
      </c>
      <c r="C3" s="8">
        <v>0</v>
      </c>
      <c r="D3" s="9" t="s">
        <v>13</v>
      </c>
      <c r="E3" s="3">
        <v>1</v>
      </c>
      <c r="F3" s="3" t="s">
        <v>14</v>
      </c>
      <c r="G3" s="10">
        <v>2</v>
      </c>
      <c r="H3" s="3">
        <v>5.6000000000000001E-2</v>
      </c>
      <c r="I3" s="8">
        <f t="shared" si="0"/>
        <v>-8.5651697699890478E-2</v>
      </c>
      <c r="J3" s="3">
        <f t="shared" ref="J3:J66" si="1">I3*E3</f>
        <v>-8.5651697699890478E-2</v>
      </c>
      <c r="K3" s="4">
        <f t="shared" ref="K3:K66" si="2">IF(J3 &lt; 0, 0, J3)</f>
        <v>0</v>
      </c>
      <c r="L3" s="4"/>
      <c r="M3" s="4"/>
      <c r="N3" s="4"/>
      <c r="O3" s="4"/>
      <c r="P3" s="4"/>
      <c r="Q3" s="4"/>
    </row>
    <row r="4" spans="1:17">
      <c r="A4" s="2" t="s">
        <v>17</v>
      </c>
      <c r="B4" s="3" t="s">
        <v>18</v>
      </c>
      <c r="C4" s="8">
        <v>0</v>
      </c>
      <c r="D4" s="8" t="s">
        <v>13</v>
      </c>
      <c r="E4" s="3">
        <v>1</v>
      </c>
      <c r="F4" s="3" t="s">
        <v>14</v>
      </c>
      <c r="G4" s="8">
        <v>3</v>
      </c>
      <c r="H4" s="3">
        <v>0.39200000000000002</v>
      </c>
      <c r="I4" s="8">
        <f t="shared" si="0"/>
        <v>0.65038335158817084</v>
      </c>
      <c r="J4" s="3">
        <f t="shared" si="1"/>
        <v>0.65038335158817084</v>
      </c>
      <c r="K4" s="4">
        <f t="shared" si="2"/>
        <v>0.65038335158817084</v>
      </c>
    </row>
    <row r="5" spans="1:17">
      <c r="A5" s="2" t="s">
        <v>19</v>
      </c>
      <c r="B5" s="3" t="s">
        <v>20</v>
      </c>
      <c r="C5" s="8">
        <v>0</v>
      </c>
      <c r="D5" s="8" t="s">
        <v>21</v>
      </c>
      <c r="E5" s="3">
        <v>1</v>
      </c>
      <c r="F5" s="3" t="s">
        <v>22</v>
      </c>
      <c r="G5" s="8">
        <v>1</v>
      </c>
      <c r="H5" s="3">
        <v>0.24199999999999999</v>
      </c>
      <c r="I5" s="8">
        <f t="shared" si="0"/>
        <v>0.32179627601314342</v>
      </c>
      <c r="J5" s="3">
        <f t="shared" si="1"/>
        <v>0.32179627601314342</v>
      </c>
      <c r="K5" s="4">
        <f t="shared" si="2"/>
        <v>0.32179627601314342</v>
      </c>
    </row>
    <row r="6" spans="1:17">
      <c r="A6" s="2" t="s">
        <v>23</v>
      </c>
      <c r="B6" s="3" t="s">
        <v>24</v>
      </c>
      <c r="C6" s="8">
        <v>0</v>
      </c>
      <c r="D6" s="8" t="s">
        <v>21</v>
      </c>
      <c r="E6" s="3">
        <v>1</v>
      </c>
      <c r="F6" s="3" t="s">
        <v>22</v>
      </c>
      <c r="G6" s="8">
        <v>2</v>
      </c>
      <c r="H6" s="3">
        <v>8.6999999999999994E-2</v>
      </c>
      <c r="I6" s="8">
        <f t="shared" si="0"/>
        <v>-1.7743702081051499E-2</v>
      </c>
      <c r="J6" s="3">
        <f t="shared" si="1"/>
        <v>-1.7743702081051499E-2</v>
      </c>
      <c r="K6" s="4">
        <f t="shared" si="2"/>
        <v>0</v>
      </c>
    </row>
    <row r="7" spans="1:17">
      <c r="A7" s="2" t="s">
        <v>25</v>
      </c>
      <c r="B7" s="3" t="s">
        <v>26</v>
      </c>
      <c r="C7" s="8">
        <v>0</v>
      </c>
      <c r="D7" s="8" t="s">
        <v>21</v>
      </c>
      <c r="E7" s="3">
        <v>1</v>
      </c>
      <c r="F7" s="3" t="s">
        <v>22</v>
      </c>
      <c r="G7" s="8">
        <v>3</v>
      </c>
      <c r="H7" s="3">
        <v>0.106</v>
      </c>
      <c r="I7" s="8">
        <f t="shared" si="0"/>
        <v>2.3877327491785307E-2</v>
      </c>
      <c r="J7" s="3">
        <f t="shared" si="1"/>
        <v>2.3877327491785307E-2</v>
      </c>
      <c r="K7" s="4">
        <f t="shared" si="2"/>
        <v>2.3877327491785307E-2</v>
      </c>
    </row>
    <row r="8" spans="1:17">
      <c r="A8" s="2" t="s">
        <v>27</v>
      </c>
      <c r="B8" s="3" t="s">
        <v>28</v>
      </c>
      <c r="C8" s="8">
        <v>0</v>
      </c>
      <c r="D8" s="8" t="s">
        <v>29</v>
      </c>
      <c r="E8" s="3">
        <v>1</v>
      </c>
      <c r="F8" s="3" t="s">
        <v>30</v>
      </c>
      <c r="G8" s="8">
        <v>1</v>
      </c>
      <c r="H8" s="3">
        <v>5.3999999999999999E-2</v>
      </c>
      <c r="I8" s="8">
        <f t="shared" si="0"/>
        <v>-9.0032858707557506E-2</v>
      </c>
      <c r="J8" s="3">
        <f t="shared" si="1"/>
        <v>-9.0032858707557506E-2</v>
      </c>
      <c r="K8" s="4">
        <f t="shared" si="2"/>
        <v>0</v>
      </c>
    </row>
    <row r="9" spans="1:17">
      <c r="A9" s="2" t="s">
        <v>31</v>
      </c>
      <c r="B9" s="3" t="s">
        <v>32</v>
      </c>
      <c r="C9" s="8">
        <v>0</v>
      </c>
      <c r="D9" s="8" t="s">
        <v>29</v>
      </c>
      <c r="E9" s="3">
        <v>1</v>
      </c>
      <c r="F9" s="3" t="s">
        <v>30</v>
      </c>
      <c r="G9" s="8">
        <v>2</v>
      </c>
      <c r="H9" s="3">
        <v>0.17499999999999999</v>
      </c>
      <c r="I9" s="8">
        <f t="shared" si="0"/>
        <v>0.17502738225629788</v>
      </c>
      <c r="J9" s="3">
        <f t="shared" si="1"/>
        <v>0.17502738225629788</v>
      </c>
      <c r="K9" s="4">
        <f t="shared" si="2"/>
        <v>0.17502738225629788</v>
      </c>
    </row>
    <row r="10" spans="1:17">
      <c r="A10" s="2" t="s">
        <v>33</v>
      </c>
      <c r="B10" s="3" t="s">
        <v>34</v>
      </c>
      <c r="C10" s="8">
        <v>0</v>
      </c>
      <c r="D10" s="8" t="s">
        <v>29</v>
      </c>
      <c r="E10" s="3">
        <v>1</v>
      </c>
      <c r="F10" s="3" t="s">
        <v>30</v>
      </c>
      <c r="G10" s="8">
        <v>3</v>
      </c>
      <c r="H10" s="3">
        <v>0.19500000000000001</v>
      </c>
      <c r="I10" s="8">
        <f t="shared" si="0"/>
        <v>0.21883899233296825</v>
      </c>
      <c r="J10" s="3">
        <f t="shared" si="1"/>
        <v>0.21883899233296825</v>
      </c>
      <c r="K10" s="4">
        <f t="shared" si="2"/>
        <v>0.21883899233296825</v>
      </c>
    </row>
    <row r="11" spans="1:17">
      <c r="A11" s="2" t="s">
        <v>35</v>
      </c>
      <c r="B11" s="3" t="s">
        <v>36</v>
      </c>
      <c r="C11" s="8">
        <v>0</v>
      </c>
      <c r="D11" s="8" t="s">
        <v>37</v>
      </c>
      <c r="E11" s="3">
        <v>1</v>
      </c>
      <c r="F11" s="3" t="s">
        <v>38</v>
      </c>
      <c r="G11" s="8">
        <v>1</v>
      </c>
      <c r="H11" s="3">
        <v>0.56599999999999995</v>
      </c>
      <c r="I11" s="8">
        <f t="shared" si="0"/>
        <v>1.0315443592552025</v>
      </c>
      <c r="J11" s="3">
        <f t="shared" si="1"/>
        <v>1.0315443592552025</v>
      </c>
      <c r="K11" s="4">
        <f t="shared" si="2"/>
        <v>1.0315443592552025</v>
      </c>
    </row>
    <row r="12" spans="1:17">
      <c r="A12" s="2" t="s">
        <v>39</v>
      </c>
      <c r="B12" s="3" t="s">
        <v>40</v>
      </c>
      <c r="C12" s="8">
        <v>0</v>
      </c>
      <c r="D12" s="8" t="s">
        <v>37</v>
      </c>
      <c r="E12" s="3">
        <v>1</v>
      </c>
      <c r="F12" s="3" t="s">
        <v>38</v>
      </c>
      <c r="G12" s="8">
        <v>2</v>
      </c>
      <c r="H12" s="3">
        <v>0.622</v>
      </c>
      <c r="I12" s="8">
        <f t="shared" si="0"/>
        <v>1.1542168674698796</v>
      </c>
      <c r="J12" s="3">
        <f t="shared" si="1"/>
        <v>1.1542168674698796</v>
      </c>
      <c r="K12" s="4">
        <f t="shared" si="2"/>
        <v>1.1542168674698796</v>
      </c>
    </row>
    <row r="13" spans="1:17">
      <c r="A13" s="2" t="s">
        <v>41</v>
      </c>
      <c r="B13" s="3" t="s">
        <v>42</v>
      </c>
      <c r="C13" s="8">
        <v>0</v>
      </c>
      <c r="D13" s="8" t="s">
        <v>37</v>
      </c>
      <c r="E13" s="3">
        <v>1</v>
      </c>
      <c r="F13" s="3" t="s">
        <v>38</v>
      </c>
      <c r="G13" s="8">
        <v>3</v>
      </c>
      <c r="H13" s="3">
        <v>0.622</v>
      </c>
      <c r="I13" s="8">
        <f t="shared" si="0"/>
        <v>1.1542168674698796</v>
      </c>
      <c r="J13" s="3">
        <f t="shared" si="1"/>
        <v>1.1542168674698796</v>
      </c>
      <c r="K13" s="4">
        <f t="shared" si="2"/>
        <v>1.1542168674698796</v>
      </c>
    </row>
    <row r="14" spans="1:17">
      <c r="A14" s="2" t="s">
        <v>43</v>
      </c>
      <c r="B14" s="3" t="s">
        <v>44</v>
      </c>
      <c r="C14" s="8">
        <v>0</v>
      </c>
      <c r="D14" s="8" t="s">
        <v>45</v>
      </c>
      <c r="E14" s="3">
        <v>1</v>
      </c>
      <c r="F14" s="3" t="s">
        <v>46</v>
      </c>
      <c r="G14" s="8">
        <v>1</v>
      </c>
      <c r="H14" s="3">
        <v>0.22600000000000001</v>
      </c>
      <c r="I14" s="8">
        <f t="shared" si="0"/>
        <v>0.28674698795180725</v>
      </c>
      <c r="J14" s="3">
        <f t="shared" si="1"/>
        <v>0.28674698795180725</v>
      </c>
      <c r="K14" s="4">
        <f t="shared" si="2"/>
        <v>0.28674698795180725</v>
      </c>
    </row>
    <row r="15" spans="1:17">
      <c r="A15" s="2" t="s">
        <v>47</v>
      </c>
      <c r="B15" s="3" t="s">
        <v>48</v>
      </c>
      <c r="C15" s="8">
        <v>0</v>
      </c>
      <c r="D15" s="8" t="s">
        <v>45</v>
      </c>
      <c r="E15" s="3">
        <v>1</v>
      </c>
      <c r="F15" s="3" t="s">
        <v>46</v>
      </c>
      <c r="G15" s="8">
        <v>2</v>
      </c>
      <c r="H15" s="3">
        <v>0.252</v>
      </c>
      <c r="I15" s="8">
        <f t="shared" si="0"/>
        <v>0.34370208105147859</v>
      </c>
      <c r="J15" s="3">
        <f t="shared" si="1"/>
        <v>0.34370208105147859</v>
      </c>
      <c r="K15" s="4">
        <f t="shared" si="2"/>
        <v>0.34370208105147859</v>
      </c>
    </row>
    <row r="16" spans="1:17">
      <c r="A16" s="2" t="s">
        <v>49</v>
      </c>
      <c r="B16" s="3" t="s">
        <v>50</v>
      </c>
      <c r="C16" s="8">
        <v>0</v>
      </c>
      <c r="D16" s="8" t="s">
        <v>45</v>
      </c>
      <c r="E16" s="3">
        <v>1</v>
      </c>
      <c r="F16" s="3" t="s">
        <v>46</v>
      </c>
      <c r="G16" s="8">
        <v>3</v>
      </c>
      <c r="H16" s="3">
        <v>0.26700000000000002</v>
      </c>
      <c r="I16" s="8">
        <f t="shared" si="0"/>
        <v>0.37656078860898134</v>
      </c>
      <c r="J16" s="3">
        <f>I16*E16</f>
        <v>0.37656078860898134</v>
      </c>
      <c r="K16" s="4">
        <f t="shared" si="2"/>
        <v>0.37656078860898134</v>
      </c>
    </row>
    <row r="17" spans="1:11">
      <c r="A17" s="2" t="s">
        <v>51</v>
      </c>
      <c r="B17" s="3" t="s">
        <v>52</v>
      </c>
      <c r="C17" s="8">
        <v>7</v>
      </c>
      <c r="D17" s="8" t="s">
        <v>13</v>
      </c>
      <c r="E17" s="3">
        <v>1</v>
      </c>
      <c r="F17" s="3" t="s">
        <v>14</v>
      </c>
      <c r="G17" s="8">
        <v>1</v>
      </c>
      <c r="H17" s="3">
        <v>9.2999999999999999E-2</v>
      </c>
      <c r="I17" s="8">
        <f t="shared" si="0"/>
        <v>-4.6002190580503935E-3</v>
      </c>
      <c r="J17" s="3">
        <f t="shared" si="1"/>
        <v>-4.6002190580503935E-3</v>
      </c>
      <c r="K17" s="4">
        <f t="shared" si="2"/>
        <v>0</v>
      </c>
    </row>
    <row r="18" spans="1:11">
      <c r="A18" s="2" t="s">
        <v>53</v>
      </c>
      <c r="B18" s="3" t="s">
        <v>54</v>
      </c>
      <c r="C18" s="8">
        <v>7</v>
      </c>
      <c r="D18" s="8" t="s">
        <v>13</v>
      </c>
      <c r="E18" s="3">
        <v>1</v>
      </c>
      <c r="F18" s="3" t="s">
        <v>14</v>
      </c>
      <c r="G18" s="8">
        <v>2</v>
      </c>
      <c r="H18" s="3">
        <v>4.5999999999999999E-2</v>
      </c>
      <c r="I18" s="8">
        <f t="shared" si="0"/>
        <v>-0.10755750273822563</v>
      </c>
      <c r="J18" s="3">
        <f t="shared" si="1"/>
        <v>-0.10755750273822563</v>
      </c>
      <c r="K18" s="4">
        <f t="shared" si="2"/>
        <v>0</v>
      </c>
    </row>
    <row r="19" spans="1:11">
      <c r="A19" s="2" t="s">
        <v>55</v>
      </c>
      <c r="B19" s="3" t="s">
        <v>56</v>
      </c>
      <c r="C19" s="8">
        <v>7</v>
      </c>
      <c r="D19" s="8" t="s">
        <v>13</v>
      </c>
      <c r="E19" s="3">
        <v>1</v>
      </c>
      <c r="F19" s="3" t="s">
        <v>14</v>
      </c>
      <c r="G19" s="8">
        <v>3</v>
      </c>
      <c r="H19" s="3">
        <v>4.7E-2</v>
      </c>
      <c r="I19" s="8">
        <f t="shared" si="0"/>
        <v>-0.10536692223439212</v>
      </c>
      <c r="J19" s="3">
        <f t="shared" si="1"/>
        <v>-0.10536692223439212</v>
      </c>
      <c r="K19" s="4">
        <f t="shared" si="2"/>
        <v>0</v>
      </c>
    </row>
    <row r="20" spans="1:11">
      <c r="A20" s="2" t="s">
        <v>57</v>
      </c>
      <c r="B20" s="3" t="s">
        <v>58</v>
      </c>
      <c r="C20" s="8">
        <v>7</v>
      </c>
      <c r="D20" s="8" t="s">
        <v>21</v>
      </c>
      <c r="E20" s="3">
        <v>1</v>
      </c>
      <c r="F20" s="3" t="s">
        <v>22</v>
      </c>
      <c r="G20" s="8">
        <v>1</v>
      </c>
      <c r="H20" s="3">
        <v>0.155</v>
      </c>
      <c r="I20" s="8">
        <f t="shared" si="0"/>
        <v>0.1312157721796276</v>
      </c>
      <c r="J20" s="3">
        <f t="shared" si="1"/>
        <v>0.1312157721796276</v>
      </c>
      <c r="K20" s="4">
        <f t="shared" si="2"/>
        <v>0.1312157721796276</v>
      </c>
    </row>
    <row r="21" spans="1:11">
      <c r="A21" s="2" t="s">
        <v>59</v>
      </c>
      <c r="B21" s="3" t="s">
        <v>60</v>
      </c>
      <c r="C21" s="8">
        <v>7</v>
      </c>
      <c r="D21" s="8" t="s">
        <v>21</v>
      </c>
      <c r="E21" s="3">
        <v>1</v>
      </c>
      <c r="F21" s="3" t="s">
        <v>22</v>
      </c>
      <c r="G21" s="8">
        <v>2</v>
      </c>
      <c r="H21" s="3">
        <v>6.3E-2</v>
      </c>
      <c r="I21" s="8">
        <f t="shared" si="0"/>
        <v>-7.0317634173055865E-2</v>
      </c>
      <c r="J21" s="3">
        <f t="shared" si="1"/>
        <v>-7.0317634173055865E-2</v>
      </c>
      <c r="K21" s="4">
        <f t="shared" si="2"/>
        <v>0</v>
      </c>
    </row>
    <row r="22" spans="1:11">
      <c r="A22" s="2" t="s">
        <v>61</v>
      </c>
      <c r="B22" s="3" t="s">
        <v>62</v>
      </c>
      <c r="C22" s="8">
        <v>7</v>
      </c>
      <c r="D22" s="8" t="s">
        <v>21</v>
      </c>
      <c r="E22" s="3">
        <v>1</v>
      </c>
      <c r="F22" s="3" t="s">
        <v>22</v>
      </c>
      <c r="G22" s="8">
        <v>3</v>
      </c>
      <c r="H22" s="3">
        <v>0.06</v>
      </c>
      <c r="I22" s="8">
        <f t="shared" si="0"/>
        <v>-7.6889375684556421E-2</v>
      </c>
      <c r="J22" s="3">
        <f t="shared" si="1"/>
        <v>-7.6889375684556421E-2</v>
      </c>
      <c r="K22" s="4">
        <f t="shared" si="2"/>
        <v>0</v>
      </c>
    </row>
    <row r="23" spans="1:11">
      <c r="A23" s="2" t="s">
        <v>63</v>
      </c>
      <c r="B23" s="3" t="s">
        <v>64</v>
      </c>
      <c r="C23" s="8">
        <v>7</v>
      </c>
      <c r="D23" s="8" t="s">
        <v>29</v>
      </c>
      <c r="E23" s="3">
        <v>1</v>
      </c>
      <c r="F23" s="3" t="s">
        <v>30</v>
      </c>
      <c r="G23" s="8">
        <v>1</v>
      </c>
      <c r="H23" s="3">
        <v>7.0000000000000007E-2</v>
      </c>
      <c r="I23" s="8">
        <f t="shared" si="0"/>
        <v>-5.4983570646221239E-2</v>
      </c>
      <c r="J23" s="3">
        <f t="shared" si="1"/>
        <v>-5.4983570646221239E-2</v>
      </c>
      <c r="K23" s="4">
        <f t="shared" si="2"/>
        <v>0</v>
      </c>
    </row>
    <row r="24" spans="1:11">
      <c r="A24" s="2" t="s">
        <v>65</v>
      </c>
      <c r="B24" s="3" t="s">
        <v>66</v>
      </c>
      <c r="C24" s="8">
        <v>7</v>
      </c>
      <c r="D24" s="8" t="s">
        <v>29</v>
      </c>
      <c r="E24" s="3">
        <v>1</v>
      </c>
      <c r="F24" s="3" t="s">
        <v>30</v>
      </c>
      <c r="G24" s="8">
        <v>2</v>
      </c>
      <c r="H24" s="3">
        <v>7.0999999999999994E-2</v>
      </c>
      <c r="I24" s="8">
        <f t="shared" si="0"/>
        <v>-5.2792990142387752E-2</v>
      </c>
      <c r="J24" s="3">
        <f t="shared" si="1"/>
        <v>-5.2792990142387752E-2</v>
      </c>
      <c r="K24" s="4">
        <f t="shared" si="2"/>
        <v>0</v>
      </c>
    </row>
    <row r="25" spans="1:11">
      <c r="A25" s="2" t="s">
        <v>67</v>
      </c>
      <c r="B25" s="3" t="s">
        <v>68</v>
      </c>
      <c r="C25" s="8">
        <v>7</v>
      </c>
      <c r="D25" s="8" t="s">
        <v>29</v>
      </c>
      <c r="E25" s="3">
        <v>1</v>
      </c>
      <c r="F25" s="3" t="s">
        <v>30</v>
      </c>
      <c r="G25" s="8">
        <v>3</v>
      </c>
      <c r="H25" s="3">
        <v>5.5E-2</v>
      </c>
      <c r="I25" s="8">
        <f t="shared" si="0"/>
        <v>-8.7842278203723992E-2</v>
      </c>
      <c r="J25" s="3">
        <f t="shared" si="1"/>
        <v>-8.7842278203723992E-2</v>
      </c>
      <c r="K25" s="4">
        <f t="shared" si="2"/>
        <v>0</v>
      </c>
    </row>
    <row r="26" spans="1:11">
      <c r="A26" s="2" t="s">
        <v>69</v>
      </c>
      <c r="B26" s="3" t="s">
        <v>70</v>
      </c>
      <c r="C26" s="8">
        <v>7</v>
      </c>
      <c r="D26" s="8" t="s">
        <v>37</v>
      </c>
      <c r="E26" s="3">
        <v>1</v>
      </c>
      <c r="F26" s="3" t="s">
        <v>38</v>
      </c>
      <c r="G26" s="8">
        <v>1</v>
      </c>
      <c r="H26" s="3">
        <v>0.95199999999999996</v>
      </c>
      <c r="I26" s="8">
        <f t="shared" si="0"/>
        <v>1.8771084337349397</v>
      </c>
      <c r="J26" s="3">
        <f t="shared" si="1"/>
        <v>1.8771084337349397</v>
      </c>
      <c r="K26" s="4">
        <f t="shared" si="2"/>
        <v>1.8771084337349397</v>
      </c>
    </row>
    <row r="27" spans="1:11">
      <c r="A27" s="2" t="s">
        <v>71</v>
      </c>
      <c r="B27" s="3" t="s">
        <v>72</v>
      </c>
      <c r="C27" s="8">
        <v>7</v>
      </c>
      <c r="D27" s="8" t="s">
        <v>37</v>
      </c>
      <c r="E27" s="3">
        <v>1</v>
      </c>
      <c r="F27" s="3" t="s">
        <v>38</v>
      </c>
      <c r="G27" s="8">
        <v>2</v>
      </c>
      <c r="H27" s="3">
        <v>0.71099999999999997</v>
      </c>
      <c r="I27" s="8">
        <f t="shared" si="0"/>
        <v>1.3491785323110623</v>
      </c>
      <c r="J27" s="3">
        <f t="shared" si="1"/>
        <v>1.3491785323110623</v>
      </c>
      <c r="K27" s="4">
        <f t="shared" si="2"/>
        <v>1.3491785323110623</v>
      </c>
    </row>
    <row r="28" spans="1:11">
      <c r="A28" s="2" t="s">
        <v>73</v>
      </c>
      <c r="B28" s="3" t="s">
        <v>74</v>
      </c>
      <c r="C28" s="8">
        <v>7</v>
      </c>
      <c r="D28" s="8" t="s">
        <v>37</v>
      </c>
      <c r="E28" s="3">
        <v>1</v>
      </c>
      <c r="F28" s="3" t="s">
        <v>38</v>
      </c>
      <c r="G28" s="8">
        <v>3</v>
      </c>
      <c r="H28" s="3">
        <v>0.92100000000000004</v>
      </c>
      <c r="I28" s="8">
        <f t="shared" si="0"/>
        <v>1.8092004381161009</v>
      </c>
      <c r="J28" s="3">
        <f t="shared" si="1"/>
        <v>1.8092004381161009</v>
      </c>
      <c r="K28" s="4">
        <f t="shared" si="2"/>
        <v>1.8092004381161009</v>
      </c>
    </row>
    <row r="29" spans="1:11">
      <c r="A29" s="2" t="s">
        <v>75</v>
      </c>
      <c r="B29" s="3" t="s">
        <v>76</v>
      </c>
      <c r="C29" s="8">
        <v>7</v>
      </c>
      <c r="D29" s="8" t="s">
        <v>45</v>
      </c>
      <c r="E29" s="3">
        <v>1</v>
      </c>
      <c r="F29" s="3" t="s">
        <v>46</v>
      </c>
      <c r="G29" s="8">
        <v>1</v>
      </c>
      <c r="H29" s="3">
        <v>9.4E-2</v>
      </c>
      <c r="I29" s="8">
        <f t="shared" si="0"/>
        <v>-2.4096385542168755E-3</v>
      </c>
      <c r="J29" s="3">
        <f t="shared" si="1"/>
        <v>-2.4096385542168755E-3</v>
      </c>
      <c r="K29" s="4">
        <f t="shared" si="2"/>
        <v>0</v>
      </c>
    </row>
    <row r="30" spans="1:11">
      <c r="A30" s="2" t="s">
        <v>77</v>
      </c>
      <c r="B30" s="3" t="s">
        <v>78</v>
      </c>
      <c r="C30" s="8">
        <v>7</v>
      </c>
      <c r="D30" s="8" t="s">
        <v>45</v>
      </c>
      <c r="E30" s="3">
        <v>1</v>
      </c>
      <c r="F30" s="3" t="s">
        <v>46</v>
      </c>
      <c r="G30" s="8">
        <v>2</v>
      </c>
      <c r="H30" s="3">
        <v>0.10299999999999999</v>
      </c>
      <c r="I30" s="8">
        <f t="shared" si="0"/>
        <v>1.7305585980284754E-2</v>
      </c>
      <c r="J30" s="3">
        <f t="shared" si="1"/>
        <v>1.7305585980284754E-2</v>
      </c>
      <c r="K30" s="4">
        <f t="shared" si="2"/>
        <v>1.7305585980284754E-2</v>
      </c>
    </row>
    <row r="31" spans="1:11">
      <c r="A31" s="2" t="s">
        <v>79</v>
      </c>
      <c r="B31" s="3" t="s">
        <v>80</v>
      </c>
      <c r="C31" s="8">
        <v>7</v>
      </c>
      <c r="D31" s="8" t="s">
        <v>45</v>
      </c>
      <c r="E31" s="3">
        <v>1</v>
      </c>
      <c r="F31" s="3" t="s">
        <v>46</v>
      </c>
      <c r="G31" s="8">
        <v>3</v>
      </c>
      <c r="H31" s="3">
        <v>0.13</v>
      </c>
      <c r="I31" s="8">
        <f t="shared" si="0"/>
        <v>7.6451259583789705E-2</v>
      </c>
      <c r="J31" s="3">
        <f t="shared" si="1"/>
        <v>7.6451259583789705E-2</v>
      </c>
      <c r="K31" s="4">
        <f t="shared" si="2"/>
        <v>7.6451259583789705E-2</v>
      </c>
    </row>
    <row r="32" spans="1:11">
      <c r="A32" s="2" t="s">
        <v>81</v>
      </c>
      <c r="B32" s="3" t="s">
        <v>82</v>
      </c>
      <c r="C32" s="8">
        <v>15</v>
      </c>
      <c r="D32" s="8" t="s">
        <v>13</v>
      </c>
      <c r="E32" s="3">
        <v>1</v>
      </c>
      <c r="F32" s="3" t="s">
        <v>14</v>
      </c>
      <c r="G32" s="8">
        <v>1</v>
      </c>
      <c r="H32" s="3">
        <v>6.0999999999999999E-2</v>
      </c>
      <c r="I32" s="8">
        <f t="shared" si="0"/>
        <v>-7.4698795180722907E-2</v>
      </c>
      <c r="J32" s="3">
        <f t="shared" si="1"/>
        <v>-7.4698795180722907E-2</v>
      </c>
      <c r="K32" s="4">
        <f t="shared" si="2"/>
        <v>0</v>
      </c>
    </row>
    <row r="33" spans="1:11">
      <c r="A33" s="2" t="s">
        <v>83</v>
      </c>
      <c r="B33" s="3" t="s">
        <v>84</v>
      </c>
      <c r="C33" s="8">
        <v>15</v>
      </c>
      <c r="D33" s="8" t="s">
        <v>13</v>
      </c>
      <c r="E33" s="3">
        <v>1</v>
      </c>
      <c r="F33" s="3" t="s">
        <v>14</v>
      </c>
      <c r="G33" s="8">
        <v>2</v>
      </c>
      <c r="H33" s="3">
        <v>5.3999999999999999E-2</v>
      </c>
      <c r="I33" s="8">
        <f t="shared" si="0"/>
        <v>-9.0032858707557506E-2</v>
      </c>
      <c r="J33" s="3">
        <f t="shared" si="1"/>
        <v>-9.0032858707557506E-2</v>
      </c>
      <c r="K33" s="4">
        <f t="shared" si="2"/>
        <v>0</v>
      </c>
    </row>
    <row r="34" spans="1:11">
      <c r="A34" s="2" t="s">
        <v>85</v>
      </c>
      <c r="B34" s="3" t="s">
        <v>86</v>
      </c>
      <c r="C34" s="8">
        <v>15</v>
      </c>
      <c r="D34" s="8" t="s">
        <v>13</v>
      </c>
      <c r="E34" s="3">
        <v>1</v>
      </c>
      <c r="F34" s="3" t="s">
        <v>14</v>
      </c>
      <c r="G34" s="8">
        <v>3</v>
      </c>
      <c r="H34" s="3">
        <v>0.06</v>
      </c>
      <c r="I34" s="8">
        <f t="shared" si="0"/>
        <v>-7.6889375684556421E-2</v>
      </c>
      <c r="J34" s="3">
        <f t="shared" si="1"/>
        <v>-7.6889375684556421E-2</v>
      </c>
      <c r="K34" s="4">
        <f t="shared" si="2"/>
        <v>0</v>
      </c>
    </row>
    <row r="35" spans="1:11">
      <c r="A35" s="2" t="s">
        <v>87</v>
      </c>
      <c r="B35" s="3" t="s">
        <v>88</v>
      </c>
      <c r="C35" s="8">
        <v>15</v>
      </c>
      <c r="D35" s="8" t="s">
        <v>21</v>
      </c>
      <c r="E35" s="3">
        <v>1</v>
      </c>
      <c r="F35" s="3" t="s">
        <v>22</v>
      </c>
      <c r="G35" s="8">
        <v>1</v>
      </c>
      <c r="H35" s="3">
        <v>0.14000000000000001</v>
      </c>
      <c r="I35" s="8">
        <f>(H35-0.0951)/0.4565</f>
        <v>9.8357064622124873E-2</v>
      </c>
      <c r="J35" s="3">
        <f t="shared" si="1"/>
        <v>9.8357064622124873E-2</v>
      </c>
      <c r="K35" s="4">
        <f t="shared" si="2"/>
        <v>9.8357064622124873E-2</v>
      </c>
    </row>
    <row r="36" spans="1:11">
      <c r="A36" s="2" t="s">
        <v>89</v>
      </c>
      <c r="B36" s="3" t="s">
        <v>90</v>
      </c>
      <c r="C36" s="8">
        <v>15</v>
      </c>
      <c r="D36" s="8" t="s">
        <v>21</v>
      </c>
      <c r="E36" s="3">
        <v>1</v>
      </c>
      <c r="F36" s="3" t="s">
        <v>22</v>
      </c>
      <c r="G36" s="8">
        <v>2</v>
      </c>
      <c r="H36" s="3">
        <v>8.4000000000000005E-2</v>
      </c>
      <c r="I36" s="8">
        <f t="shared" si="0"/>
        <v>-2.4315443592552024E-2</v>
      </c>
      <c r="J36" s="3">
        <f t="shared" si="1"/>
        <v>-2.4315443592552024E-2</v>
      </c>
      <c r="K36" s="4">
        <f t="shared" si="2"/>
        <v>0</v>
      </c>
    </row>
    <row r="37" spans="1:11">
      <c r="A37" s="2" t="s">
        <v>91</v>
      </c>
      <c r="B37" s="3" t="s">
        <v>92</v>
      </c>
      <c r="C37" s="8">
        <v>15</v>
      </c>
      <c r="D37" s="8" t="s">
        <v>21</v>
      </c>
      <c r="E37" s="3">
        <v>1</v>
      </c>
      <c r="F37" s="3" t="s">
        <v>22</v>
      </c>
      <c r="G37" s="8">
        <v>3</v>
      </c>
      <c r="H37" s="3">
        <v>5.1999999999999998E-2</v>
      </c>
      <c r="I37" s="8">
        <f t="shared" si="0"/>
        <v>-9.4414019715224548E-2</v>
      </c>
      <c r="J37" s="3">
        <f t="shared" si="1"/>
        <v>-9.4414019715224548E-2</v>
      </c>
      <c r="K37" s="4">
        <f t="shared" si="2"/>
        <v>0</v>
      </c>
    </row>
    <row r="38" spans="1:11">
      <c r="A38" s="2" t="s">
        <v>93</v>
      </c>
      <c r="B38" s="3" t="s">
        <v>94</v>
      </c>
      <c r="C38" s="8">
        <v>15</v>
      </c>
      <c r="D38" s="8" t="s">
        <v>29</v>
      </c>
      <c r="E38" s="3">
        <v>1</v>
      </c>
      <c r="F38" s="3" t="s">
        <v>30</v>
      </c>
      <c r="G38" s="8">
        <v>1</v>
      </c>
      <c r="H38" s="3">
        <v>0.06</v>
      </c>
      <c r="I38" s="8">
        <f t="shared" si="0"/>
        <v>-7.6889375684556421E-2</v>
      </c>
      <c r="J38" s="3">
        <f t="shared" si="1"/>
        <v>-7.6889375684556421E-2</v>
      </c>
      <c r="K38" s="4">
        <f t="shared" si="2"/>
        <v>0</v>
      </c>
    </row>
    <row r="39" spans="1:11">
      <c r="A39" s="2" t="s">
        <v>95</v>
      </c>
      <c r="B39" s="3" t="s">
        <v>96</v>
      </c>
      <c r="C39" s="8">
        <v>15</v>
      </c>
      <c r="D39" s="8" t="s">
        <v>29</v>
      </c>
      <c r="E39" s="3">
        <v>1</v>
      </c>
      <c r="F39" s="3" t="s">
        <v>30</v>
      </c>
      <c r="G39" s="8">
        <v>2</v>
      </c>
      <c r="H39" s="3">
        <v>7.3999999999999996E-2</v>
      </c>
      <c r="I39" s="8">
        <f t="shared" si="0"/>
        <v>-4.6221248630887203E-2</v>
      </c>
      <c r="J39" s="3">
        <f t="shared" si="1"/>
        <v>-4.6221248630887203E-2</v>
      </c>
      <c r="K39" s="4">
        <f t="shared" si="2"/>
        <v>0</v>
      </c>
    </row>
    <row r="40" spans="1:11">
      <c r="A40" s="2" t="s">
        <v>97</v>
      </c>
      <c r="B40" s="3" t="s">
        <v>98</v>
      </c>
      <c r="C40" s="8">
        <v>15</v>
      </c>
      <c r="D40" s="8" t="s">
        <v>29</v>
      </c>
      <c r="E40" s="3">
        <v>1</v>
      </c>
      <c r="F40" s="3" t="s">
        <v>30</v>
      </c>
      <c r="G40" s="8">
        <v>3</v>
      </c>
      <c r="H40" s="3">
        <v>0.10100000000000001</v>
      </c>
      <c r="I40" s="8">
        <f t="shared" si="0"/>
        <v>1.2924424972617749E-2</v>
      </c>
      <c r="J40" s="3">
        <f t="shared" si="1"/>
        <v>1.2924424972617749E-2</v>
      </c>
      <c r="K40" s="4">
        <f t="shared" si="2"/>
        <v>1.2924424972617749E-2</v>
      </c>
    </row>
    <row r="41" spans="1:11">
      <c r="A41" s="2" t="s">
        <v>414</v>
      </c>
      <c r="B41" s="3" t="s">
        <v>415</v>
      </c>
      <c r="C41" s="8">
        <v>15</v>
      </c>
      <c r="D41" s="8" t="s">
        <v>37</v>
      </c>
      <c r="E41" s="3">
        <v>1</v>
      </c>
      <c r="F41" s="3" t="s">
        <v>38</v>
      </c>
      <c r="G41" s="8">
        <v>1</v>
      </c>
      <c r="H41" s="6">
        <v>1.0189999999999999</v>
      </c>
      <c r="I41" s="8">
        <f t="shared" si="0"/>
        <v>2.0238773274917849</v>
      </c>
      <c r="J41" s="3">
        <f t="shared" si="1"/>
        <v>2.0238773274917849</v>
      </c>
      <c r="K41" s="4">
        <f t="shared" si="2"/>
        <v>2.0238773274917849</v>
      </c>
    </row>
    <row r="42" spans="1:11">
      <c r="A42" s="2" t="s">
        <v>99</v>
      </c>
      <c r="B42" s="3" t="s">
        <v>100</v>
      </c>
      <c r="C42" s="8">
        <v>15</v>
      </c>
      <c r="D42" s="8" t="s">
        <v>37</v>
      </c>
      <c r="E42" s="3">
        <v>1</v>
      </c>
      <c r="F42" s="3" t="s">
        <v>38</v>
      </c>
      <c r="G42" s="8">
        <v>2</v>
      </c>
      <c r="H42" s="3">
        <v>0.89700000000000002</v>
      </c>
      <c r="I42" s="8">
        <f t="shared" si="0"/>
        <v>1.7566265060240964</v>
      </c>
      <c r="J42" s="3">
        <f t="shared" si="1"/>
        <v>1.7566265060240964</v>
      </c>
      <c r="K42" s="4">
        <f t="shared" si="2"/>
        <v>1.7566265060240964</v>
      </c>
    </row>
    <row r="43" spans="1:11">
      <c r="A43" s="2" t="s">
        <v>101</v>
      </c>
      <c r="B43" s="3" t="s">
        <v>102</v>
      </c>
      <c r="C43" s="8">
        <v>15</v>
      </c>
      <c r="D43" s="8" t="s">
        <v>37</v>
      </c>
      <c r="E43" s="3">
        <v>1</v>
      </c>
      <c r="F43" s="3" t="s">
        <v>38</v>
      </c>
      <c r="G43" s="8">
        <v>3</v>
      </c>
      <c r="H43" s="3">
        <v>0.69399999999999995</v>
      </c>
      <c r="I43" s="8">
        <f t="shared" si="0"/>
        <v>1.3119386637458925</v>
      </c>
      <c r="J43" s="3">
        <f t="shared" si="1"/>
        <v>1.3119386637458925</v>
      </c>
      <c r="K43" s="4">
        <f t="shared" si="2"/>
        <v>1.3119386637458925</v>
      </c>
    </row>
    <row r="44" spans="1:11">
      <c r="A44" s="2" t="s">
        <v>103</v>
      </c>
      <c r="B44" s="3" t="s">
        <v>104</v>
      </c>
      <c r="C44" s="8">
        <v>15</v>
      </c>
      <c r="D44" s="8" t="s">
        <v>45</v>
      </c>
      <c r="E44" s="3">
        <v>1</v>
      </c>
      <c r="F44" s="3" t="s">
        <v>46</v>
      </c>
      <c r="G44" s="8">
        <v>1</v>
      </c>
      <c r="H44" s="3">
        <v>0.151</v>
      </c>
      <c r="I44" s="8">
        <f t="shared" si="0"/>
        <v>0.12245345016429351</v>
      </c>
      <c r="J44" s="3">
        <f t="shared" si="1"/>
        <v>0.12245345016429351</v>
      </c>
      <c r="K44" s="4">
        <f t="shared" si="2"/>
        <v>0.12245345016429351</v>
      </c>
    </row>
    <row r="45" spans="1:11">
      <c r="A45" s="2" t="s">
        <v>105</v>
      </c>
      <c r="B45" s="3" t="s">
        <v>106</v>
      </c>
      <c r="C45" s="8">
        <v>15</v>
      </c>
      <c r="D45" s="8" t="s">
        <v>45</v>
      </c>
      <c r="E45" s="3">
        <v>1</v>
      </c>
      <c r="F45" s="3" t="s">
        <v>46</v>
      </c>
      <c r="G45" s="8">
        <v>2</v>
      </c>
      <c r="H45" s="3">
        <v>5.6000000000000001E-2</v>
      </c>
      <c r="I45" s="8">
        <f t="shared" si="0"/>
        <v>-8.5651697699890478E-2</v>
      </c>
      <c r="J45" s="3">
        <f t="shared" si="1"/>
        <v>-8.5651697699890478E-2</v>
      </c>
      <c r="K45" s="4">
        <f t="shared" si="2"/>
        <v>0</v>
      </c>
    </row>
    <row r="46" spans="1:11">
      <c r="A46" s="2" t="s">
        <v>107</v>
      </c>
      <c r="B46" s="3" t="s">
        <v>108</v>
      </c>
      <c r="C46" s="8">
        <v>15</v>
      </c>
      <c r="D46" s="8" t="s">
        <v>45</v>
      </c>
      <c r="E46" s="3">
        <v>1</v>
      </c>
      <c r="F46" s="3" t="s">
        <v>46</v>
      </c>
      <c r="G46" s="8">
        <v>3</v>
      </c>
      <c r="H46" s="3">
        <v>7.0000000000000007E-2</v>
      </c>
      <c r="I46" s="8">
        <f t="shared" si="0"/>
        <v>-5.4983570646221239E-2</v>
      </c>
      <c r="J46" s="3">
        <f t="shared" si="1"/>
        <v>-5.4983570646221239E-2</v>
      </c>
      <c r="K46" s="4">
        <f t="shared" si="2"/>
        <v>0</v>
      </c>
    </row>
    <row r="47" spans="1:11">
      <c r="A47" s="2" t="s">
        <v>109</v>
      </c>
      <c r="B47" s="3" t="s">
        <v>110</v>
      </c>
      <c r="C47" s="8">
        <v>21</v>
      </c>
      <c r="D47" s="8" t="s">
        <v>13</v>
      </c>
      <c r="E47" s="3">
        <v>1</v>
      </c>
      <c r="F47" s="3" t="s">
        <v>14</v>
      </c>
      <c r="G47" s="8">
        <v>1</v>
      </c>
      <c r="H47" s="3">
        <v>5.8000000000000003E-2</v>
      </c>
      <c r="I47" s="8">
        <f t="shared" si="0"/>
        <v>-8.1270536692223436E-2</v>
      </c>
      <c r="J47" s="3">
        <f t="shared" si="1"/>
        <v>-8.1270536692223436E-2</v>
      </c>
      <c r="K47" s="4">
        <f t="shared" si="2"/>
        <v>0</v>
      </c>
    </row>
    <row r="48" spans="1:11">
      <c r="A48" s="2" t="s">
        <v>111</v>
      </c>
      <c r="B48" s="3" t="s">
        <v>112</v>
      </c>
      <c r="C48" s="8">
        <v>21</v>
      </c>
      <c r="D48" s="8" t="s">
        <v>13</v>
      </c>
      <c r="E48" s="3">
        <v>1</v>
      </c>
      <c r="F48" s="3" t="s">
        <v>14</v>
      </c>
      <c r="G48" s="8">
        <v>2</v>
      </c>
      <c r="H48" s="3">
        <v>5.7000000000000002E-2</v>
      </c>
      <c r="I48" s="8">
        <f t="shared" si="0"/>
        <v>-8.346111719605695E-2</v>
      </c>
      <c r="J48" s="3">
        <f t="shared" si="1"/>
        <v>-8.346111719605695E-2</v>
      </c>
      <c r="K48" s="4">
        <f t="shared" si="2"/>
        <v>0</v>
      </c>
    </row>
    <row r="49" spans="1:11">
      <c r="A49" s="2" t="s">
        <v>113</v>
      </c>
      <c r="B49" s="3" t="s">
        <v>114</v>
      </c>
      <c r="C49" s="8">
        <v>21</v>
      </c>
      <c r="D49" s="8" t="s">
        <v>13</v>
      </c>
      <c r="E49" s="3">
        <v>1</v>
      </c>
      <c r="F49" s="3" t="s">
        <v>14</v>
      </c>
      <c r="G49" s="8">
        <v>3</v>
      </c>
      <c r="H49" s="3">
        <v>5.6000000000000001E-2</v>
      </c>
      <c r="I49" s="8">
        <f t="shared" si="0"/>
        <v>-8.5651697699890478E-2</v>
      </c>
      <c r="J49" s="3">
        <f t="shared" si="1"/>
        <v>-8.5651697699890478E-2</v>
      </c>
      <c r="K49" s="4">
        <f t="shared" si="2"/>
        <v>0</v>
      </c>
    </row>
    <row r="50" spans="1:11">
      <c r="A50" s="2" t="s">
        <v>115</v>
      </c>
      <c r="B50" s="3" t="s">
        <v>116</v>
      </c>
      <c r="C50" s="8">
        <v>21</v>
      </c>
      <c r="D50" s="8" t="s">
        <v>21</v>
      </c>
      <c r="E50" s="3">
        <v>1</v>
      </c>
      <c r="F50" s="3" t="s">
        <v>22</v>
      </c>
      <c r="G50" s="8">
        <v>1</v>
      </c>
      <c r="H50" s="3">
        <v>0.14799999999999999</v>
      </c>
      <c r="I50" s="8">
        <f t="shared" si="0"/>
        <v>0.11588170865279296</v>
      </c>
      <c r="J50" s="3">
        <f t="shared" si="1"/>
        <v>0.11588170865279296</v>
      </c>
      <c r="K50" s="4">
        <f t="shared" si="2"/>
        <v>0.11588170865279296</v>
      </c>
    </row>
    <row r="51" spans="1:11">
      <c r="A51" s="2" t="s">
        <v>117</v>
      </c>
      <c r="B51" s="3" t="s">
        <v>118</v>
      </c>
      <c r="C51" s="8">
        <v>21</v>
      </c>
      <c r="D51" s="8" t="s">
        <v>21</v>
      </c>
      <c r="E51" s="3">
        <v>1</v>
      </c>
      <c r="F51" s="3" t="s">
        <v>22</v>
      </c>
      <c r="G51" s="8">
        <v>2</v>
      </c>
      <c r="H51" s="3">
        <v>0.153</v>
      </c>
      <c r="I51" s="8">
        <f t="shared" si="0"/>
        <v>0.12683461117196054</v>
      </c>
      <c r="J51" s="3">
        <f t="shared" si="1"/>
        <v>0.12683461117196054</v>
      </c>
      <c r="K51" s="4">
        <f t="shared" si="2"/>
        <v>0.12683461117196054</v>
      </c>
    </row>
    <row r="52" spans="1:11">
      <c r="A52" s="2" t="s">
        <v>119</v>
      </c>
      <c r="B52" s="3" t="s">
        <v>120</v>
      </c>
      <c r="C52" s="8">
        <v>21</v>
      </c>
      <c r="D52" s="8" t="s">
        <v>21</v>
      </c>
      <c r="E52" s="3">
        <v>1</v>
      </c>
      <c r="F52" s="3" t="s">
        <v>22</v>
      </c>
      <c r="G52" s="8">
        <v>3</v>
      </c>
      <c r="H52" s="3">
        <v>0.14599999999999999</v>
      </c>
      <c r="I52" s="8">
        <f t="shared" si="0"/>
        <v>0.11150054764512593</v>
      </c>
      <c r="J52" s="3">
        <f t="shared" si="1"/>
        <v>0.11150054764512593</v>
      </c>
      <c r="K52" s="4">
        <f t="shared" si="2"/>
        <v>0.11150054764512593</v>
      </c>
    </row>
    <row r="53" spans="1:11">
      <c r="A53" s="2" t="s">
        <v>121</v>
      </c>
      <c r="B53" s="3" t="s">
        <v>122</v>
      </c>
      <c r="C53" s="8">
        <v>21</v>
      </c>
      <c r="D53" s="8" t="s">
        <v>29</v>
      </c>
      <c r="E53" s="3">
        <v>1</v>
      </c>
      <c r="F53" s="3" t="s">
        <v>30</v>
      </c>
      <c r="G53" s="8">
        <v>1</v>
      </c>
      <c r="H53" s="3">
        <v>6.6000000000000003E-2</v>
      </c>
      <c r="I53" s="8">
        <f t="shared" si="0"/>
        <v>-6.3745892661555309E-2</v>
      </c>
      <c r="J53" s="3">
        <f t="shared" si="1"/>
        <v>-6.3745892661555309E-2</v>
      </c>
      <c r="K53" s="4">
        <f t="shared" si="2"/>
        <v>0</v>
      </c>
    </row>
    <row r="54" spans="1:11">
      <c r="A54" s="2" t="s">
        <v>123</v>
      </c>
      <c r="B54" s="3" t="s">
        <v>124</v>
      </c>
      <c r="C54" s="8">
        <v>21</v>
      </c>
      <c r="D54" s="8" t="s">
        <v>29</v>
      </c>
      <c r="E54" s="3">
        <v>1</v>
      </c>
      <c r="F54" s="3" t="s">
        <v>30</v>
      </c>
      <c r="G54" s="8">
        <v>2</v>
      </c>
      <c r="H54" s="3">
        <v>7.8E-2</v>
      </c>
      <c r="I54" s="8">
        <f t="shared" si="0"/>
        <v>-3.7458926615553126E-2</v>
      </c>
      <c r="J54" s="3">
        <f t="shared" si="1"/>
        <v>-3.7458926615553126E-2</v>
      </c>
      <c r="K54" s="4">
        <f t="shared" si="2"/>
        <v>0</v>
      </c>
    </row>
    <row r="55" spans="1:11">
      <c r="A55" s="2" t="s">
        <v>125</v>
      </c>
      <c r="B55" s="3" t="s">
        <v>126</v>
      </c>
      <c r="C55" s="8">
        <v>21</v>
      </c>
      <c r="D55" s="8" t="s">
        <v>29</v>
      </c>
      <c r="E55" s="3">
        <v>1</v>
      </c>
      <c r="F55" s="3" t="s">
        <v>30</v>
      </c>
      <c r="G55" s="8">
        <v>3</v>
      </c>
      <c r="H55" s="3">
        <v>8.4000000000000005E-2</v>
      </c>
      <c r="I55" s="8">
        <f t="shared" si="0"/>
        <v>-2.4315443592552024E-2</v>
      </c>
      <c r="J55" s="3">
        <f t="shared" si="1"/>
        <v>-2.4315443592552024E-2</v>
      </c>
      <c r="K55" s="4">
        <f t="shared" si="2"/>
        <v>0</v>
      </c>
    </row>
    <row r="56" spans="1:11">
      <c r="A56" s="2" t="s">
        <v>127</v>
      </c>
      <c r="B56" s="3" t="s">
        <v>128</v>
      </c>
      <c r="C56" s="8">
        <v>21</v>
      </c>
      <c r="D56" s="8" t="s">
        <v>37</v>
      </c>
      <c r="E56" s="3">
        <v>1</v>
      </c>
      <c r="F56" s="3" t="s">
        <v>38</v>
      </c>
      <c r="G56" s="8">
        <v>1</v>
      </c>
      <c r="H56" s="3">
        <v>0.85899999999999999</v>
      </c>
      <c r="I56" s="8">
        <f t="shared" si="0"/>
        <v>1.6733844468784227</v>
      </c>
      <c r="J56" s="3">
        <f t="shared" si="1"/>
        <v>1.6733844468784227</v>
      </c>
      <c r="K56" s="4">
        <f t="shared" si="2"/>
        <v>1.6733844468784227</v>
      </c>
    </row>
    <row r="57" spans="1:11">
      <c r="A57" s="2" t="s">
        <v>129</v>
      </c>
      <c r="B57" s="3" t="s">
        <v>130</v>
      </c>
      <c r="C57" s="8">
        <v>21</v>
      </c>
      <c r="D57" s="8" t="s">
        <v>37</v>
      </c>
      <c r="E57" s="3">
        <v>1</v>
      </c>
      <c r="F57" s="3" t="s">
        <v>38</v>
      </c>
      <c r="G57" s="8">
        <v>2</v>
      </c>
      <c r="H57" s="3">
        <v>0.71</v>
      </c>
      <c r="I57" s="8">
        <f t="shared" si="0"/>
        <v>1.346987951807229</v>
      </c>
      <c r="J57" s="3">
        <f t="shared" si="1"/>
        <v>1.346987951807229</v>
      </c>
      <c r="K57" s="4">
        <f t="shared" si="2"/>
        <v>1.346987951807229</v>
      </c>
    </row>
    <row r="58" spans="1:11">
      <c r="A58" s="2" t="s">
        <v>131</v>
      </c>
      <c r="B58" s="3" t="s">
        <v>132</v>
      </c>
      <c r="C58" s="8">
        <v>21</v>
      </c>
      <c r="D58" s="8" t="s">
        <v>37</v>
      </c>
      <c r="E58" s="3">
        <v>1</v>
      </c>
      <c r="F58" s="3" t="s">
        <v>38</v>
      </c>
      <c r="G58" s="8">
        <v>3</v>
      </c>
      <c r="H58" s="3">
        <v>0.68600000000000005</v>
      </c>
      <c r="I58" s="8">
        <f t="shared" si="0"/>
        <v>1.2944140197152247</v>
      </c>
      <c r="J58" s="3">
        <f t="shared" si="1"/>
        <v>1.2944140197152247</v>
      </c>
      <c r="K58" s="4">
        <f t="shared" si="2"/>
        <v>1.2944140197152247</v>
      </c>
    </row>
    <row r="59" spans="1:11">
      <c r="A59" s="2" t="s">
        <v>133</v>
      </c>
      <c r="B59" s="3" t="s">
        <v>134</v>
      </c>
      <c r="C59" s="8">
        <v>21</v>
      </c>
      <c r="D59" s="8" t="s">
        <v>45</v>
      </c>
      <c r="E59" s="3">
        <v>1</v>
      </c>
      <c r="F59" s="3" t="s">
        <v>46</v>
      </c>
      <c r="G59" s="8">
        <v>1</v>
      </c>
      <c r="H59" s="3">
        <v>0.17199999999999999</v>
      </c>
      <c r="I59" s="8">
        <f t="shared" si="0"/>
        <v>0.16845564074479732</v>
      </c>
      <c r="J59" s="3">
        <f t="shared" si="1"/>
        <v>0.16845564074479732</v>
      </c>
      <c r="K59" s="4">
        <f t="shared" si="2"/>
        <v>0.16845564074479732</v>
      </c>
    </row>
    <row r="60" spans="1:11">
      <c r="A60" s="2" t="s">
        <v>135</v>
      </c>
      <c r="B60" s="3" t="s">
        <v>136</v>
      </c>
      <c r="C60" s="8">
        <v>21</v>
      </c>
      <c r="D60" s="8" t="s">
        <v>45</v>
      </c>
      <c r="E60" s="3">
        <v>1</v>
      </c>
      <c r="F60" s="3" t="s">
        <v>46</v>
      </c>
      <c r="G60" s="8">
        <v>2</v>
      </c>
      <c r="H60" s="3">
        <v>0.17</v>
      </c>
      <c r="I60" s="8">
        <f t="shared" si="0"/>
        <v>0.16407447973713035</v>
      </c>
      <c r="J60" s="3">
        <f t="shared" si="1"/>
        <v>0.16407447973713035</v>
      </c>
      <c r="K60" s="4">
        <f t="shared" si="2"/>
        <v>0.16407447973713035</v>
      </c>
    </row>
    <row r="61" spans="1:11">
      <c r="A61" s="2" t="s">
        <v>137</v>
      </c>
      <c r="B61" s="3" t="s">
        <v>138</v>
      </c>
      <c r="C61" s="8">
        <v>21</v>
      </c>
      <c r="D61" s="8" t="s">
        <v>45</v>
      </c>
      <c r="E61" s="3">
        <v>1</v>
      </c>
      <c r="F61" s="3" t="s">
        <v>46</v>
      </c>
      <c r="G61" s="8">
        <v>3</v>
      </c>
      <c r="H61" s="3">
        <v>0.19</v>
      </c>
      <c r="I61" s="8">
        <f t="shared" ref="I61:I118" si="3">(H61-0.0951)/0.4565</f>
        <v>0.20788608981380063</v>
      </c>
      <c r="J61" s="3">
        <f t="shared" si="1"/>
        <v>0.20788608981380063</v>
      </c>
      <c r="K61" s="4">
        <f t="shared" si="2"/>
        <v>0.20788608981380063</v>
      </c>
    </row>
    <row r="62" spans="1:11">
      <c r="A62" s="2" t="s">
        <v>139</v>
      </c>
      <c r="B62" s="3" t="s">
        <v>140</v>
      </c>
      <c r="C62" s="8">
        <v>28</v>
      </c>
      <c r="D62" s="8" t="s">
        <v>13</v>
      </c>
      <c r="E62" s="3">
        <v>1</v>
      </c>
      <c r="F62" s="3" t="s">
        <v>14</v>
      </c>
      <c r="G62" s="8">
        <v>1</v>
      </c>
      <c r="H62" s="3">
        <v>5.8000000000000003E-2</v>
      </c>
      <c r="I62" s="8">
        <f t="shared" si="3"/>
        <v>-8.1270536692223436E-2</v>
      </c>
      <c r="J62" s="3">
        <f t="shared" si="1"/>
        <v>-8.1270536692223436E-2</v>
      </c>
      <c r="K62" s="4">
        <f t="shared" si="2"/>
        <v>0</v>
      </c>
    </row>
    <row r="63" spans="1:11">
      <c r="A63" s="2" t="s">
        <v>141</v>
      </c>
      <c r="B63" s="3" t="s">
        <v>142</v>
      </c>
      <c r="C63" s="8">
        <v>28</v>
      </c>
      <c r="D63" s="8" t="s">
        <v>13</v>
      </c>
      <c r="E63" s="3">
        <v>1</v>
      </c>
      <c r="F63" s="3" t="s">
        <v>14</v>
      </c>
      <c r="G63" s="8">
        <v>2</v>
      </c>
      <c r="H63" s="3">
        <v>5.1999999999999998E-2</v>
      </c>
      <c r="I63" s="8">
        <f t="shared" si="3"/>
        <v>-9.4414019715224548E-2</v>
      </c>
      <c r="J63" s="3">
        <f t="shared" si="1"/>
        <v>-9.4414019715224548E-2</v>
      </c>
      <c r="K63" s="4">
        <f t="shared" si="2"/>
        <v>0</v>
      </c>
    </row>
    <row r="64" spans="1:11">
      <c r="A64" s="2" t="s">
        <v>143</v>
      </c>
      <c r="B64" s="3" t="s">
        <v>144</v>
      </c>
      <c r="C64" s="8">
        <v>28</v>
      </c>
      <c r="D64" s="8" t="s">
        <v>13</v>
      </c>
      <c r="E64" s="3">
        <v>1</v>
      </c>
      <c r="F64" s="3" t="s">
        <v>14</v>
      </c>
      <c r="G64" s="8">
        <v>3</v>
      </c>
      <c r="H64" s="3">
        <v>5.2999999999999999E-2</v>
      </c>
      <c r="I64" s="8">
        <f t="shared" si="3"/>
        <v>-9.2223439211391034E-2</v>
      </c>
      <c r="J64" s="3">
        <f t="shared" si="1"/>
        <v>-9.2223439211391034E-2</v>
      </c>
      <c r="K64" s="4">
        <f t="shared" si="2"/>
        <v>0</v>
      </c>
    </row>
    <row r="65" spans="1:11">
      <c r="A65" s="2" t="s">
        <v>145</v>
      </c>
      <c r="B65" s="3" t="s">
        <v>146</v>
      </c>
      <c r="C65" s="8">
        <v>28</v>
      </c>
      <c r="D65" s="8" t="s">
        <v>21</v>
      </c>
      <c r="E65" s="3">
        <v>1</v>
      </c>
      <c r="F65" s="3" t="s">
        <v>22</v>
      </c>
      <c r="G65" s="8">
        <v>1</v>
      </c>
      <c r="H65" s="3">
        <v>0.309</v>
      </c>
      <c r="I65" s="8">
        <f t="shared" si="3"/>
        <v>0.46856516976998897</v>
      </c>
      <c r="J65" s="3">
        <f t="shared" si="1"/>
        <v>0.46856516976998897</v>
      </c>
      <c r="K65" s="4">
        <f t="shared" si="2"/>
        <v>0.46856516976998897</v>
      </c>
    </row>
    <row r="66" spans="1:11">
      <c r="A66" s="2" t="s">
        <v>147</v>
      </c>
      <c r="B66" s="3" t="s">
        <v>148</v>
      </c>
      <c r="C66" s="8">
        <v>28</v>
      </c>
      <c r="D66" s="8" t="s">
        <v>21</v>
      </c>
      <c r="E66" s="3">
        <v>1</v>
      </c>
      <c r="F66" s="3" t="s">
        <v>22</v>
      </c>
      <c r="G66" s="8">
        <v>2</v>
      </c>
      <c r="H66" s="3">
        <v>0.25</v>
      </c>
      <c r="I66" s="8">
        <f t="shared" si="3"/>
        <v>0.33932092004381154</v>
      </c>
      <c r="J66" s="3">
        <f t="shared" si="1"/>
        <v>0.33932092004381154</v>
      </c>
      <c r="K66" s="4">
        <f t="shared" si="2"/>
        <v>0.33932092004381154</v>
      </c>
    </row>
    <row r="67" spans="1:11">
      <c r="A67" s="2" t="s">
        <v>149</v>
      </c>
      <c r="B67" s="3" t="s">
        <v>150</v>
      </c>
      <c r="C67" s="8">
        <v>28</v>
      </c>
      <c r="D67" s="8" t="s">
        <v>21</v>
      </c>
      <c r="E67" s="3">
        <v>1</v>
      </c>
      <c r="F67" s="3" t="s">
        <v>22</v>
      </c>
      <c r="G67" s="8">
        <v>3</v>
      </c>
      <c r="H67" s="3">
        <v>0.30299999999999999</v>
      </c>
      <c r="I67" s="8">
        <f t="shared" si="3"/>
        <v>0.45542168674698785</v>
      </c>
      <c r="J67" s="3">
        <f t="shared" ref="J67:J130" si="4">I67*E67</f>
        <v>0.45542168674698785</v>
      </c>
      <c r="K67" s="4">
        <f t="shared" ref="K67:K130" si="5">IF(J67 &lt; 0, 0, J67)</f>
        <v>0.45542168674698785</v>
      </c>
    </row>
    <row r="68" spans="1:11">
      <c r="A68" s="2" t="s">
        <v>151</v>
      </c>
      <c r="B68" s="3" t="s">
        <v>152</v>
      </c>
      <c r="C68" s="8">
        <v>28</v>
      </c>
      <c r="D68" s="8" t="s">
        <v>29</v>
      </c>
      <c r="E68" s="3">
        <v>1</v>
      </c>
      <c r="F68" s="3" t="s">
        <v>30</v>
      </c>
      <c r="G68" s="8">
        <v>1</v>
      </c>
      <c r="H68" s="3">
        <v>6.7000000000000004E-2</v>
      </c>
      <c r="I68" s="8">
        <f t="shared" si="3"/>
        <v>-6.1555312157721795E-2</v>
      </c>
      <c r="J68" s="3">
        <f t="shared" si="4"/>
        <v>-6.1555312157721795E-2</v>
      </c>
      <c r="K68" s="4">
        <f t="shared" si="5"/>
        <v>0</v>
      </c>
    </row>
    <row r="69" spans="1:11">
      <c r="A69" s="2" t="s">
        <v>153</v>
      </c>
      <c r="B69" s="3" t="s">
        <v>154</v>
      </c>
      <c r="C69" s="8">
        <v>28</v>
      </c>
      <c r="D69" s="8" t="s">
        <v>29</v>
      </c>
      <c r="E69" s="3">
        <v>1</v>
      </c>
      <c r="F69" s="3" t="s">
        <v>30</v>
      </c>
      <c r="G69" s="8">
        <v>2</v>
      </c>
      <c r="H69" s="3">
        <v>7.5999999999999998E-2</v>
      </c>
      <c r="I69" s="8">
        <f t="shared" si="3"/>
        <v>-4.1840087623220168E-2</v>
      </c>
      <c r="J69" s="3">
        <f t="shared" si="4"/>
        <v>-4.1840087623220168E-2</v>
      </c>
      <c r="K69" s="4">
        <f t="shared" si="5"/>
        <v>0</v>
      </c>
    </row>
    <row r="70" spans="1:11">
      <c r="A70" s="2" t="s">
        <v>155</v>
      </c>
      <c r="B70" s="3" t="s">
        <v>156</v>
      </c>
      <c r="C70" s="8">
        <v>28</v>
      </c>
      <c r="D70" s="8" t="s">
        <v>29</v>
      </c>
      <c r="E70" s="3">
        <v>1</v>
      </c>
      <c r="F70" s="3" t="s">
        <v>30</v>
      </c>
      <c r="G70" s="8">
        <v>3</v>
      </c>
      <c r="H70" s="3">
        <v>0.11</v>
      </c>
      <c r="I70" s="8">
        <f t="shared" si="3"/>
        <v>3.2639649507119381E-2</v>
      </c>
      <c r="J70" s="3">
        <f t="shared" si="4"/>
        <v>3.2639649507119381E-2</v>
      </c>
      <c r="K70" s="4">
        <f t="shared" si="5"/>
        <v>3.2639649507119381E-2</v>
      </c>
    </row>
    <row r="71" spans="1:11">
      <c r="A71" s="2" t="s">
        <v>157</v>
      </c>
      <c r="B71" s="3" t="s">
        <v>158</v>
      </c>
      <c r="C71" s="8">
        <v>28</v>
      </c>
      <c r="D71" s="8" t="s">
        <v>37</v>
      </c>
      <c r="E71" s="3">
        <v>1</v>
      </c>
      <c r="F71" s="3" t="s">
        <v>38</v>
      </c>
      <c r="G71" s="8">
        <v>1</v>
      </c>
      <c r="H71" s="3">
        <v>0.73</v>
      </c>
      <c r="I71" s="8">
        <f t="shared" si="3"/>
        <v>1.3907995618838993</v>
      </c>
      <c r="J71" s="3">
        <f t="shared" si="4"/>
        <v>1.3907995618838993</v>
      </c>
      <c r="K71" s="4">
        <f t="shared" si="5"/>
        <v>1.3907995618838993</v>
      </c>
    </row>
    <row r="72" spans="1:11">
      <c r="A72" s="2" t="s">
        <v>159</v>
      </c>
      <c r="B72" s="3" t="s">
        <v>160</v>
      </c>
      <c r="C72" s="8">
        <v>28</v>
      </c>
      <c r="D72" s="8" t="s">
        <v>37</v>
      </c>
      <c r="E72" s="3">
        <v>1</v>
      </c>
      <c r="F72" s="3" t="s">
        <v>38</v>
      </c>
      <c r="G72" s="8">
        <v>2</v>
      </c>
      <c r="H72" s="3">
        <v>0.60799999999999998</v>
      </c>
      <c r="I72" s="8">
        <f t="shared" si="3"/>
        <v>1.1235487404162103</v>
      </c>
      <c r="J72" s="3">
        <f t="shared" si="4"/>
        <v>1.1235487404162103</v>
      </c>
      <c r="K72" s="4">
        <f t="shared" si="5"/>
        <v>1.1235487404162103</v>
      </c>
    </row>
    <row r="73" spans="1:11">
      <c r="A73" s="2" t="s">
        <v>161</v>
      </c>
      <c r="B73" s="3" t="s">
        <v>162</v>
      </c>
      <c r="C73" s="8">
        <v>28</v>
      </c>
      <c r="D73" s="8" t="s">
        <v>37</v>
      </c>
      <c r="E73" s="3">
        <v>1</v>
      </c>
      <c r="F73" s="3" t="s">
        <v>38</v>
      </c>
      <c r="G73" s="8">
        <v>3</v>
      </c>
      <c r="H73" s="3">
        <v>0.72899999999999998</v>
      </c>
      <c r="I73" s="8">
        <f t="shared" si="3"/>
        <v>1.3886089813800657</v>
      </c>
      <c r="J73" s="3">
        <f t="shared" si="4"/>
        <v>1.3886089813800657</v>
      </c>
      <c r="K73" s="4">
        <f t="shared" si="5"/>
        <v>1.3886089813800657</v>
      </c>
    </row>
    <row r="74" spans="1:11">
      <c r="A74" s="2" t="s">
        <v>163</v>
      </c>
      <c r="B74" s="3" t="s">
        <v>164</v>
      </c>
      <c r="C74" s="8">
        <v>28</v>
      </c>
      <c r="D74" s="8" t="s">
        <v>45</v>
      </c>
      <c r="E74" s="3">
        <v>1</v>
      </c>
      <c r="F74" s="3" t="s">
        <v>46</v>
      </c>
      <c r="G74" s="8">
        <v>1</v>
      </c>
      <c r="H74" s="3">
        <v>0.2</v>
      </c>
      <c r="I74" s="8">
        <f t="shared" si="3"/>
        <v>0.22979189485213583</v>
      </c>
      <c r="J74" s="3">
        <f t="shared" si="4"/>
        <v>0.22979189485213583</v>
      </c>
      <c r="K74" s="4">
        <f t="shared" si="5"/>
        <v>0.22979189485213583</v>
      </c>
    </row>
    <row r="75" spans="1:11">
      <c r="A75" s="2" t="s">
        <v>165</v>
      </c>
      <c r="B75" s="3" t="s">
        <v>166</v>
      </c>
      <c r="C75" s="8">
        <v>28</v>
      </c>
      <c r="D75" s="8" t="s">
        <v>45</v>
      </c>
      <c r="E75" s="3">
        <v>1</v>
      </c>
      <c r="F75" s="3" t="s">
        <v>46</v>
      </c>
      <c r="G75" s="8">
        <v>2</v>
      </c>
      <c r="H75" s="3">
        <v>0.26700000000000002</v>
      </c>
      <c r="I75" s="8">
        <f t="shared" si="3"/>
        <v>0.37656078860898134</v>
      </c>
      <c r="J75" s="3">
        <f t="shared" si="4"/>
        <v>0.37656078860898134</v>
      </c>
      <c r="K75" s="4">
        <f t="shared" si="5"/>
        <v>0.37656078860898134</v>
      </c>
    </row>
    <row r="76" spans="1:11">
      <c r="A76" s="2" t="s">
        <v>167</v>
      </c>
      <c r="B76" s="3" t="s">
        <v>168</v>
      </c>
      <c r="C76" s="8">
        <v>28</v>
      </c>
      <c r="D76" s="8" t="s">
        <v>45</v>
      </c>
      <c r="E76" s="3">
        <v>1</v>
      </c>
      <c r="F76" s="3" t="s">
        <v>46</v>
      </c>
      <c r="G76" s="8">
        <v>3</v>
      </c>
      <c r="H76" s="3">
        <v>0.14099999999999999</v>
      </c>
      <c r="I76" s="8">
        <f t="shared" si="3"/>
        <v>0.10054764512595833</v>
      </c>
      <c r="J76" s="3">
        <f t="shared" si="4"/>
        <v>0.10054764512595833</v>
      </c>
      <c r="K76" s="4">
        <f t="shared" si="5"/>
        <v>0.10054764512595833</v>
      </c>
    </row>
    <row r="77" spans="1:11">
      <c r="A77" s="2" t="s">
        <v>169</v>
      </c>
      <c r="B77" s="3" t="s">
        <v>170</v>
      </c>
      <c r="C77" s="8">
        <v>36</v>
      </c>
      <c r="D77" s="8" t="s">
        <v>13</v>
      </c>
      <c r="E77" s="3">
        <v>1</v>
      </c>
      <c r="F77" s="3" t="s">
        <v>14</v>
      </c>
      <c r="G77" s="8">
        <v>1</v>
      </c>
      <c r="H77" s="3">
        <v>5.7000000000000002E-2</v>
      </c>
      <c r="I77" s="8">
        <f t="shared" si="3"/>
        <v>-8.346111719605695E-2</v>
      </c>
      <c r="J77" s="3">
        <f t="shared" si="4"/>
        <v>-8.346111719605695E-2</v>
      </c>
      <c r="K77" s="4">
        <f t="shared" si="5"/>
        <v>0</v>
      </c>
    </row>
    <row r="78" spans="1:11">
      <c r="A78" s="2" t="s">
        <v>171</v>
      </c>
      <c r="B78" s="3" t="s">
        <v>172</v>
      </c>
      <c r="C78" s="8">
        <v>36</v>
      </c>
      <c r="D78" s="8" t="s">
        <v>13</v>
      </c>
      <c r="E78" s="3">
        <v>1</v>
      </c>
      <c r="F78" s="3" t="s">
        <v>14</v>
      </c>
      <c r="G78" s="8">
        <v>2</v>
      </c>
      <c r="H78" s="3">
        <v>5.7000000000000002E-2</v>
      </c>
      <c r="I78" s="8">
        <f t="shared" si="3"/>
        <v>-8.346111719605695E-2</v>
      </c>
      <c r="J78" s="3">
        <f t="shared" si="4"/>
        <v>-8.346111719605695E-2</v>
      </c>
      <c r="K78" s="4">
        <f t="shared" si="5"/>
        <v>0</v>
      </c>
    </row>
    <row r="79" spans="1:11">
      <c r="A79" s="2" t="s">
        <v>173</v>
      </c>
      <c r="B79" s="3" t="s">
        <v>174</v>
      </c>
      <c r="C79" s="8">
        <v>36</v>
      </c>
      <c r="D79" s="8" t="s">
        <v>13</v>
      </c>
      <c r="E79" s="3">
        <v>1</v>
      </c>
      <c r="F79" s="3" t="s">
        <v>14</v>
      </c>
      <c r="G79" s="8">
        <v>3</v>
      </c>
      <c r="H79" s="3">
        <v>5.3999999999999999E-2</v>
      </c>
      <c r="I79" s="8">
        <f t="shared" si="3"/>
        <v>-9.0032858707557506E-2</v>
      </c>
      <c r="J79" s="3">
        <f t="shared" si="4"/>
        <v>-9.0032858707557506E-2</v>
      </c>
      <c r="K79" s="4">
        <f t="shared" si="5"/>
        <v>0</v>
      </c>
    </row>
    <row r="80" spans="1:11">
      <c r="A80" s="2" t="s">
        <v>175</v>
      </c>
      <c r="B80" s="3" t="s">
        <v>176</v>
      </c>
      <c r="C80" s="8">
        <v>36</v>
      </c>
      <c r="D80" s="8" t="s">
        <v>21</v>
      </c>
      <c r="E80" s="3">
        <v>1</v>
      </c>
      <c r="F80" s="3" t="s">
        <v>22</v>
      </c>
      <c r="G80" s="8">
        <v>1</v>
      </c>
      <c r="H80" s="3">
        <v>0.26</v>
      </c>
      <c r="I80" s="8">
        <f t="shared" si="3"/>
        <v>0.36122672508214676</v>
      </c>
      <c r="J80" s="3">
        <f t="shared" si="4"/>
        <v>0.36122672508214676</v>
      </c>
      <c r="K80" s="4">
        <f t="shared" si="5"/>
        <v>0.36122672508214676</v>
      </c>
    </row>
    <row r="81" spans="1:11">
      <c r="A81" s="2" t="s">
        <v>177</v>
      </c>
      <c r="B81" s="3" t="s">
        <v>178</v>
      </c>
      <c r="C81" s="8">
        <v>36</v>
      </c>
      <c r="D81" s="8" t="s">
        <v>21</v>
      </c>
      <c r="E81" s="3">
        <v>1</v>
      </c>
      <c r="F81" s="3" t="s">
        <v>22</v>
      </c>
      <c r="G81" s="8">
        <v>2</v>
      </c>
      <c r="H81" s="3">
        <v>0.20799999999999999</v>
      </c>
      <c r="I81" s="8">
        <f t="shared" si="3"/>
        <v>0.24731653888280392</v>
      </c>
      <c r="J81" s="3">
        <f t="shared" si="4"/>
        <v>0.24731653888280392</v>
      </c>
      <c r="K81" s="4">
        <f t="shared" si="5"/>
        <v>0.24731653888280392</v>
      </c>
    </row>
    <row r="82" spans="1:11">
      <c r="A82" s="2" t="s">
        <v>179</v>
      </c>
      <c r="B82" s="3" t="s">
        <v>180</v>
      </c>
      <c r="C82" s="8">
        <v>36</v>
      </c>
      <c r="D82" s="8" t="s">
        <v>21</v>
      </c>
      <c r="E82" s="3">
        <v>1</v>
      </c>
      <c r="F82" s="3" t="s">
        <v>22</v>
      </c>
      <c r="G82" s="8">
        <v>3</v>
      </c>
      <c r="H82" s="3">
        <v>0.23400000000000001</v>
      </c>
      <c r="I82" s="8">
        <f t="shared" si="3"/>
        <v>0.30427163198247542</v>
      </c>
      <c r="J82" s="3">
        <f t="shared" si="4"/>
        <v>0.30427163198247542</v>
      </c>
      <c r="K82" s="4">
        <f t="shared" si="5"/>
        <v>0.30427163198247542</v>
      </c>
    </row>
    <row r="83" spans="1:11">
      <c r="A83" s="2" t="s">
        <v>181</v>
      </c>
      <c r="B83" s="3" t="s">
        <v>182</v>
      </c>
      <c r="C83" s="8">
        <v>36</v>
      </c>
      <c r="D83" s="8" t="s">
        <v>29</v>
      </c>
      <c r="E83" s="3">
        <v>1</v>
      </c>
      <c r="F83" s="3" t="s">
        <v>30</v>
      </c>
      <c r="G83" s="8">
        <v>1</v>
      </c>
      <c r="H83" s="3">
        <v>6.8000000000000005E-2</v>
      </c>
      <c r="I83" s="8">
        <f t="shared" si="3"/>
        <v>-5.9364731653888274E-2</v>
      </c>
      <c r="J83" s="3">
        <f t="shared" si="4"/>
        <v>-5.9364731653888274E-2</v>
      </c>
      <c r="K83" s="4">
        <f t="shared" si="5"/>
        <v>0</v>
      </c>
    </row>
    <row r="84" spans="1:11">
      <c r="A84" s="2" t="s">
        <v>183</v>
      </c>
      <c r="B84" s="3" t="s">
        <v>184</v>
      </c>
      <c r="C84" s="8">
        <v>36</v>
      </c>
      <c r="D84" s="8" t="s">
        <v>29</v>
      </c>
      <c r="E84" s="3">
        <v>1</v>
      </c>
      <c r="F84" s="3" t="s">
        <v>30</v>
      </c>
      <c r="G84" s="8">
        <v>2</v>
      </c>
      <c r="H84" s="3">
        <v>6.3E-2</v>
      </c>
      <c r="I84" s="8">
        <f t="shared" si="3"/>
        <v>-7.0317634173055865E-2</v>
      </c>
      <c r="J84" s="3">
        <f t="shared" si="4"/>
        <v>-7.0317634173055865E-2</v>
      </c>
      <c r="K84" s="4">
        <f t="shared" si="5"/>
        <v>0</v>
      </c>
    </row>
    <row r="85" spans="1:11">
      <c r="A85" s="2" t="s">
        <v>185</v>
      </c>
      <c r="B85" s="3" t="s">
        <v>186</v>
      </c>
      <c r="C85" s="8">
        <v>36</v>
      </c>
      <c r="D85" s="8" t="s">
        <v>29</v>
      </c>
      <c r="E85" s="3">
        <v>1</v>
      </c>
      <c r="F85" s="3" t="s">
        <v>30</v>
      </c>
      <c r="G85" s="8">
        <v>3</v>
      </c>
      <c r="H85" s="3">
        <v>0.108</v>
      </c>
      <c r="I85" s="8">
        <f t="shared" si="3"/>
        <v>2.8258488499452342E-2</v>
      </c>
      <c r="J85" s="3">
        <f t="shared" si="4"/>
        <v>2.8258488499452342E-2</v>
      </c>
      <c r="K85" s="4">
        <f t="shared" si="5"/>
        <v>2.8258488499452342E-2</v>
      </c>
    </row>
    <row r="86" spans="1:11">
      <c r="A86" s="2" t="s">
        <v>187</v>
      </c>
      <c r="B86" s="3" t="s">
        <v>188</v>
      </c>
      <c r="C86" s="8">
        <v>36</v>
      </c>
      <c r="D86" s="8" t="s">
        <v>37</v>
      </c>
      <c r="E86" s="3">
        <v>1</v>
      </c>
      <c r="F86" s="3" t="s">
        <v>38</v>
      </c>
      <c r="G86" s="8">
        <v>1</v>
      </c>
      <c r="H86" s="3">
        <v>0.8</v>
      </c>
      <c r="I86" s="8">
        <f t="shared" si="3"/>
        <v>1.5441401971522455</v>
      </c>
      <c r="J86" s="3">
        <f t="shared" si="4"/>
        <v>1.5441401971522455</v>
      </c>
      <c r="K86" s="4">
        <f t="shared" si="5"/>
        <v>1.5441401971522455</v>
      </c>
    </row>
    <row r="87" spans="1:11">
      <c r="A87" s="2" t="s">
        <v>189</v>
      </c>
      <c r="B87" s="3" t="s">
        <v>190</v>
      </c>
      <c r="C87" s="8">
        <v>36</v>
      </c>
      <c r="D87" s="8" t="s">
        <v>37</v>
      </c>
      <c r="E87" s="3">
        <v>1</v>
      </c>
      <c r="F87" s="3" t="s">
        <v>38</v>
      </c>
      <c r="G87" s="8">
        <v>2</v>
      </c>
      <c r="H87" s="3">
        <v>0.88600000000000001</v>
      </c>
      <c r="I87" s="8">
        <f t="shared" si="3"/>
        <v>1.7325301204819277</v>
      </c>
      <c r="J87" s="3">
        <f t="shared" si="4"/>
        <v>1.7325301204819277</v>
      </c>
      <c r="K87" s="4">
        <f t="shared" si="5"/>
        <v>1.7325301204819277</v>
      </c>
    </row>
    <row r="88" spans="1:11">
      <c r="A88" s="2" t="s">
        <v>191</v>
      </c>
      <c r="B88" s="3" t="s">
        <v>192</v>
      </c>
      <c r="C88" s="8">
        <v>36</v>
      </c>
      <c r="D88" s="8" t="s">
        <v>37</v>
      </c>
      <c r="E88" s="3">
        <v>1</v>
      </c>
      <c r="F88" s="3" t="s">
        <v>38</v>
      </c>
      <c r="G88" s="8">
        <v>3</v>
      </c>
      <c r="H88" s="3">
        <v>0.61399999999999999</v>
      </c>
      <c r="I88" s="8">
        <f t="shared" si="3"/>
        <v>1.1366922234392114</v>
      </c>
      <c r="J88" s="3">
        <f t="shared" si="4"/>
        <v>1.1366922234392114</v>
      </c>
      <c r="K88" s="4">
        <f t="shared" si="5"/>
        <v>1.1366922234392114</v>
      </c>
    </row>
    <row r="89" spans="1:11">
      <c r="A89" s="2" t="s">
        <v>193</v>
      </c>
      <c r="B89" s="3" t="s">
        <v>194</v>
      </c>
      <c r="C89" s="8">
        <v>36</v>
      </c>
      <c r="D89" s="8" t="s">
        <v>45</v>
      </c>
      <c r="E89" s="3">
        <v>1</v>
      </c>
      <c r="F89" s="3" t="s">
        <v>46</v>
      </c>
      <c r="G89" s="8">
        <v>1</v>
      </c>
      <c r="H89" s="3">
        <v>0.26</v>
      </c>
      <c r="I89" s="8">
        <f t="shared" si="3"/>
        <v>0.36122672508214676</v>
      </c>
      <c r="J89" s="3">
        <f t="shared" si="4"/>
        <v>0.36122672508214676</v>
      </c>
      <c r="K89" s="4">
        <f t="shared" si="5"/>
        <v>0.36122672508214676</v>
      </c>
    </row>
    <row r="90" spans="1:11">
      <c r="A90" s="2" t="s">
        <v>195</v>
      </c>
      <c r="B90" s="3" t="s">
        <v>196</v>
      </c>
      <c r="C90" s="8">
        <v>36</v>
      </c>
      <c r="D90" s="8" t="s">
        <v>45</v>
      </c>
      <c r="E90" s="3">
        <v>1</v>
      </c>
      <c r="F90" s="3" t="s">
        <v>46</v>
      </c>
      <c r="G90" s="8">
        <v>2</v>
      </c>
      <c r="H90" s="3">
        <v>0.104</v>
      </c>
      <c r="I90" s="8">
        <f t="shared" si="3"/>
        <v>1.9496166484118272E-2</v>
      </c>
      <c r="J90" s="3">
        <f t="shared" si="4"/>
        <v>1.9496166484118272E-2</v>
      </c>
      <c r="K90" s="4">
        <f t="shared" si="5"/>
        <v>1.9496166484118272E-2</v>
      </c>
    </row>
    <row r="91" spans="1:11">
      <c r="A91" s="2" t="s">
        <v>197</v>
      </c>
      <c r="B91" s="3" t="s">
        <v>198</v>
      </c>
      <c r="C91" s="8">
        <v>36</v>
      </c>
      <c r="D91" s="8" t="s">
        <v>45</v>
      </c>
      <c r="E91" s="3">
        <v>1</v>
      </c>
      <c r="F91" s="3" t="s">
        <v>46</v>
      </c>
      <c r="G91" s="8">
        <v>3</v>
      </c>
      <c r="H91" s="3">
        <v>0.23400000000000001</v>
      </c>
      <c r="I91" s="8">
        <f t="shared" si="3"/>
        <v>0.30427163198247542</v>
      </c>
      <c r="J91" s="3">
        <f t="shared" si="4"/>
        <v>0.30427163198247542</v>
      </c>
      <c r="K91" s="4">
        <f t="shared" si="5"/>
        <v>0.30427163198247542</v>
      </c>
    </row>
    <row r="92" spans="1:11">
      <c r="A92" s="2" t="s">
        <v>199</v>
      </c>
      <c r="B92" s="3" t="s">
        <v>200</v>
      </c>
      <c r="C92" s="8">
        <v>44</v>
      </c>
      <c r="D92" s="8" t="s">
        <v>13</v>
      </c>
      <c r="E92" s="3">
        <v>1</v>
      </c>
      <c r="F92" s="3" t="s">
        <v>14</v>
      </c>
      <c r="G92" s="8">
        <v>1</v>
      </c>
      <c r="H92" s="3">
        <v>5.1999999999999998E-2</v>
      </c>
      <c r="I92" s="8">
        <f t="shared" si="3"/>
        <v>-9.4414019715224548E-2</v>
      </c>
      <c r="J92" s="3">
        <f t="shared" si="4"/>
        <v>-9.4414019715224548E-2</v>
      </c>
      <c r="K92" s="4">
        <f t="shared" si="5"/>
        <v>0</v>
      </c>
    </row>
    <row r="93" spans="1:11">
      <c r="A93" s="2" t="s">
        <v>201</v>
      </c>
      <c r="B93" s="3" t="s">
        <v>202</v>
      </c>
      <c r="C93" s="8">
        <v>44</v>
      </c>
      <c r="D93" s="8" t="s">
        <v>13</v>
      </c>
      <c r="E93" s="3">
        <v>1</v>
      </c>
      <c r="F93" s="3" t="s">
        <v>14</v>
      </c>
      <c r="G93" s="8">
        <v>2</v>
      </c>
      <c r="H93" s="3">
        <v>5.2999999999999999E-2</v>
      </c>
      <c r="I93" s="8">
        <f t="shared" si="3"/>
        <v>-9.2223439211391034E-2</v>
      </c>
      <c r="J93" s="3">
        <f t="shared" si="4"/>
        <v>-9.2223439211391034E-2</v>
      </c>
      <c r="K93" s="4">
        <f t="shared" si="5"/>
        <v>0</v>
      </c>
    </row>
    <row r="94" spans="1:11">
      <c r="A94" s="2" t="s">
        <v>203</v>
      </c>
      <c r="B94" s="3" t="s">
        <v>204</v>
      </c>
      <c r="C94" s="8">
        <v>44</v>
      </c>
      <c r="D94" s="8" t="s">
        <v>13</v>
      </c>
      <c r="E94" s="3">
        <v>1</v>
      </c>
      <c r="F94" s="3" t="s">
        <v>14</v>
      </c>
      <c r="G94" s="8">
        <v>3</v>
      </c>
      <c r="H94" s="3">
        <v>0.05</v>
      </c>
      <c r="I94" s="8">
        <f t="shared" si="3"/>
        <v>-9.8795180722891562E-2</v>
      </c>
      <c r="J94" s="3">
        <f t="shared" si="4"/>
        <v>-9.8795180722891562E-2</v>
      </c>
      <c r="K94" s="4">
        <f t="shared" si="5"/>
        <v>0</v>
      </c>
    </row>
    <row r="95" spans="1:11">
      <c r="A95" s="2" t="s">
        <v>205</v>
      </c>
      <c r="B95" s="3" t="s">
        <v>206</v>
      </c>
      <c r="C95" s="8">
        <v>44</v>
      </c>
      <c r="D95" s="8" t="s">
        <v>21</v>
      </c>
      <c r="E95" s="3">
        <v>1</v>
      </c>
      <c r="F95" s="3" t="s">
        <v>22</v>
      </c>
      <c r="G95" s="8">
        <v>1</v>
      </c>
      <c r="H95" s="3">
        <v>0.23899999999999999</v>
      </c>
      <c r="I95" s="8">
        <f t="shared" si="3"/>
        <v>0.31522453450164284</v>
      </c>
      <c r="J95" s="3">
        <f t="shared" si="4"/>
        <v>0.31522453450164284</v>
      </c>
      <c r="K95" s="4">
        <f t="shared" si="5"/>
        <v>0.31522453450164284</v>
      </c>
    </row>
    <row r="96" spans="1:11">
      <c r="A96" s="2" t="s">
        <v>207</v>
      </c>
      <c r="B96" s="3" t="s">
        <v>208</v>
      </c>
      <c r="C96" s="8">
        <v>44</v>
      </c>
      <c r="D96" s="8" t="s">
        <v>21</v>
      </c>
      <c r="E96" s="3">
        <v>1</v>
      </c>
      <c r="F96" s="3" t="s">
        <v>22</v>
      </c>
      <c r="G96" s="8">
        <v>2</v>
      </c>
      <c r="H96" s="3">
        <v>0.24199999999999999</v>
      </c>
      <c r="I96" s="8">
        <f t="shared" si="3"/>
        <v>0.32179627601314342</v>
      </c>
      <c r="J96" s="3">
        <f t="shared" si="4"/>
        <v>0.32179627601314342</v>
      </c>
      <c r="K96" s="4">
        <f t="shared" si="5"/>
        <v>0.32179627601314342</v>
      </c>
    </row>
    <row r="97" spans="1:19">
      <c r="A97" s="2" t="s">
        <v>209</v>
      </c>
      <c r="B97" s="3" t="s">
        <v>210</v>
      </c>
      <c r="C97" s="8">
        <v>44</v>
      </c>
      <c r="D97" s="8" t="s">
        <v>21</v>
      </c>
      <c r="E97" s="3">
        <v>1</v>
      </c>
      <c r="F97" s="3" t="s">
        <v>22</v>
      </c>
      <c r="G97" s="8">
        <v>3</v>
      </c>
      <c r="H97" s="3">
        <v>0.185</v>
      </c>
      <c r="I97" s="8">
        <f t="shared" si="3"/>
        <v>0.19693318729463305</v>
      </c>
      <c r="J97" s="3">
        <f t="shared" si="4"/>
        <v>0.19693318729463305</v>
      </c>
      <c r="K97" s="4">
        <f t="shared" si="5"/>
        <v>0.19693318729463305</v>
      </c>
    </row>
    <row r="98" spans="1:19">
      <c r="A98" s="2" t="s">
        <v>211</v>
      </c>
      <c r="B98" s="3" t="s">
        <v>212</v>
      </c>
      <c r="C98" s="8">
        <v>44</v>
      </c>
      <c r="D98" s="8" t="s">
        <v>29</v>
      </c>
      <c r="E98" s="3">
        <v>1</v>
      </c>
      <c r="F98" s="3" t="s">
        <v>30</v>
      </c>
      <c r="G98" s="8">
        <v>1</v>
      </c>
      <c r="H98" s="3">
        <v>7.0999999999999994E-2</v>
      </c>
      <c r="I98" s="8">
        <f t="shared" si="3"/>
        <v>-5.2792990142387752E-2</v>
      </c>
      <c r="J98" s="3">
        <f t="shared" si="4"/>
        <v>-5.2792990142387752E-2</v>
      </c>
      <c r="K98" s="4">
        <f t="shared" si="5"/>
        <v>0</v>
      </c>
      <c r="L98" s="5"/>
      <c r="M98" s="5"/>
      <c r="N98" s="5"/>
      <c r="O98" s="5"/>
      <c r="P98" s="5"/>
      <c r="Q98" s="5"/>
      <c r="R98" s="5"/>
      <c r="S98" s="5"/>
    </row>
    <row r="99" spans="1:19">
      <c r="A99" s="2" t="s">
        <v>213</v>
      </c>
      <c r="B99" s="3" t="s">
        <v>214</v>
      </c>
      <c r="C99" s="8">
        <v>44</v>
      </c>
      <c r="D99" s="8" t="s">
        <v>29</v>
      </c>
      <c r="E99" s="3">
        <v>1</v>
      </c>
      <c r="F99" s="3" t="s">
        <v>30</v>
      </c>
      <c r="G99" s="8">
        <v>2</v>
      </c>
      <c r="H99" s="3">
        <v>7.9000000000000001E-2</v>
      </c>
      <c r="I99" s="8">
        <f t="shared" si="3"/>
        <v>-3.5268346111719612E-2</v>
      </c>
      <c r="J99" s="3">
        <f t="shared" si="4"/>
        <v>-3.5268346111719612E-2</v>
      </c>
      <c r="K99" s="4">
        <f t="shared" si="5"/>
        <v>0</v>
      </c>
      <c r="L99" s="4"/>
      <c r="M99" s="4"/>
      <c r="N99" s="4"/>
      <c r="O99" s="4"/>
      <c r="P99" s="4"/>
      <c r="Q99" s="4"/>
      <c r="R99" s="4"/>
      <c r="S99" s="4"/>
    </row>
    <row r="100" spans="1:19">
      <c r="A100" s="2" t="s">
        <v>215</v>
      </c>
      <c r="B100" s="3" t="s">
        <v>216</v>
      </c>
      <c r="C100" s="8">
        <v>44</v>
      </c>
      <c r="D100" s="8" t="s">
        <v>29</v>
      </c>
      <c r="E100" s="3">
        <v>1</v>
      </c>
      <c r="F100" s="3" t="s">
        <v>30</v>
      </c>
      <c r="G100" s="8">
        <v>3</v>
      </c>
      <c r="H100" s="3">
        <v>9.4E-2</v>
      </c>
      <c r="I100" s="8">
        <f t="shared" si="3"/>
        <v>-2.4096385542168755E-3</v>
      </c>
      <c r="J100" s="3">
        <f t="shared" si="4"/>
        <v>-2.4096385542168755E-3</v>
      </c>
      <c r="K100" s="4">
        <f t="shared" si="5"/>
        <v>0</v>
      </c>
      <c r="L100" s="4"/>
      <c r="M100" s="4"/>
      <c r="N100" s="4"/>
      <c r="O100" s="4"/>
      <c r="P100" s="4"/>
      <c r="Q100" s="4"/>
      <c r="R100" s="4"/>
      <c r="S100" s="4"/>
    </row>
    <row r="101" spans="1:19">
      <c r="A101" s="2" t="s">
        <v>217</v>
      </c>
      <c r="B101" s="3" t="s">
        <v>218</v>
      </c>
      <c r="C101" s="8">
        <v>44</v>
      </c>
      <c r="D101" s="8" t="s">
        <v>37</v>
      </c>
      <c r="E101" s="3">
        <v>1</v>
      </c>
      <c r="F101" s="3" t="s">
        <v>38</v>
      </c>
      <c r="G101" s="8">
        <v>1</v>
      </c>
      <c r="H101" s="3">
        <v>0.51200000000000001</v>
      </c>
      <c r="I101" s="8">
        <f t="shared" si="3"/>
        <v>0.91325301204819276</v>
      </c>
      <c r="J101" s="3">
        <f t="shared" si="4"/>
        <v>0.91325301204819276</v>
      </c>
      <c r="K101" s="4">
        <f t="shared" si="5"/>
        <v>0.91325301204819276</v>
      </c>
      <c r="L101" s="4"/>
      <c r="M101" s="4"/>
      <c r="N101" s="4"/>
      <c r="O101" s="4"/>
      <c r="P101" s="4"/>
      <c r="Q101" s="4"/>
      <c r="R101" s="4"/>
      <c r="S101" s="4"/>
    </row>
    <row r="102" spans="1:19">
      <c r="A102" s="2" t="s">
        <v>219</v>
      </c>
      <c r="B102" s="3" t="s">
        <v>220</v>
      </c>
      <c r="C102" s="8">
        <v>44</v>
      </c>
      <c r="D102" s="8" t="s">
        <v>37</v>
      </c>
      <c r="E102" s="3">
        <v>1</v>
      </c>
      <c r="F102" s="3" t="s">
        <v>38</v>
      </c>
      <c r="G102" s="8">
        <v>2</v>
      </c>
      <c r="H102" s="3">
        <v>0.56799999999999995</v>
      </c>
      <c r="I102" s="8">
        <f t="shared" si="3"/>
        <v>1.0359255202628694</v>
      </c>
      <c r="J102" s="3">
        <f t="shared" si="4"/>
        <v>1.0359255202628694</v>
      </c>
      <c r="K102" s="4">
        <f t="shared" si="5"/>
        <v>1.0359255202628694</v>
      </c>
      <c r="L102" s="4"/>
      <c r="M102" s="4"/>
      <c r="N102" s="4"/>
      <c r="O102" s="4"/>
      <c r="P102" s="4"/>
      <c r="Q102" s="4"/>
      <c r="R102" s="4"/>
      <c r="S102" s="4"/>
    </row>
    <row r="103" spans="1:19">
      <c r="A103" s="2" t="s">
        <v>221</v>
      </c>
      <c r="B103" s="3" t="s">
        <v>222</v>
      </c>
      <c r="C103" s="8">
        <v>44</v>
      </c>
      <c r="D103" s="8" t="s">
        <v>37</v>
      </c>
      <c r="E103" s="3">
        <v>1</v>
      </c>
      <c r="F103" s="3" t="s">
        <v>38</v>
      </c>
      <c r="G103" s="8">
        <v>3</v>
      </c>
      <c r="H103" s="3">
        <v>0.47599999999999998</v>
      </c>
      <c r="I103" s="8">
        <f t="shared" si="3"/>
        <v>0.83439211391018608</v>
      </c>
      <c r="J103" s="3">
        <f t="shared" si="4"/>
        <v>0.83439211391018608</v>
      </c>
      <c r="K103" s="4">
        <f t="shared" si="5"/>
        <v>0.83439211391018608</v>
      </c>
      <c r="L103" s="4"/>
      <c r="M103" s="4"/>
      <c r="N103" s="4"/>
      <c r="O103" s="4"/>
      <c r="P103" s="4"/>
      <c r="Q103" s="4"/>
      <c r="R103" s="4"/>
      <c r="S103" s="4"/>
    </row>
    <row r="104" spans="1:19">
      <c r="A104" s="2" t="s">
        <v>223</v>
      </c>
      <c r="B104" s="3" t="s">
        <v>224</v>
      </c>
      <c r="C104" s="8">
        <v>44</v>
      </c>
      <c r="D104" s="8" t="s">
        <v>45</v>
      </c>
      <c r="E104" s="3">
        <v>1</v>
      </c>
      <c r="F104" s="3" t="s">
        <v>46</v>
      </c>
      <c r="G104" s="8">
        <v>1</v>
      </c>
      <c r="H104" s="3">
        <v>0.124</v>
      </c>
      <c r="I104" s="8">
        <f t="shared" si="3"/>
        <v>6.3307776560788592E-2</v>
      </c>
      <c r="J104" s="3">
        <f t="shared" si="4"/>
        <v>6.3307776560788592E-2</v>
      </c>
      <c r="K104" s="4">
        <f t="shared" si="5"/>
        <v>6.3307776560788592E-2</v>
      </c>
      <c r="L104" s="4"/>
      <c r="M104" s="4"/>
      <c r="N104" s="4"/>
      <c r="O104" s="4"/>
      <c r="P104" s="4"/>
      <c r="Q104" s="4"/>
      <c r="R104" s="4"/>
      <c r="S104" s="4"/>
    </row>
    <row r="105" spans="1:19">
      <c r="A105" s="2" t="s">
        <v>225</v>
      </c>
      <c r="B105" s="3" t="s">
        <v>226</v>
      </c>
      <c r="C105" s="8">
        <v>44</v>
      </c>
      <c r="D105" s="8" t="s">
        <v>45</v>
      </c>
      <c r="E105" s="3">
        <v>1</v>
      </c>
      <c r="F105" s="3" t="s">
        <v>46</v>
      </c>
      <c r="G105" s="8">
        <v>2</v>
      </c>
      <c r="H105" s="3">
        <v>0.17899999999999999</v>
      </c>
      <c r="I105" s="8">
        <f t="shared" si="3"/>
        <v>0.18378970427163194</v>
      </c>
      <c r="J105" s="3">
        <f t="shared" si="4"/>
        <v>0.18378970427163194</v>
      </c>
      <c r="K105" s="4">
        <f t="shared" si="5"/>
        <v>0.18378970427163194</v>
      </c>
      <c r="L105" s="4"/>
      <c r="M105" s="4"/>
      <c r="N105" s="4"/>
      <c r="O105" s="4"/>
      <c r="P105" s="4"/>
      <c r="Q105" s="4"/>
      <c r="R105" s="4"/>
      <c r="S105" s="4"/>
    </row>
    <row r="106" spans="1:19">
      <c r="A106" s="2" t="s">
        <v>227</v>
      </c>
      <c r="B106" s="3" t="s">
        <v>228</v>
      </c>
      <c r="C106" s="8">
        <v>44</v>
      </c>
      <c r="D106" s="8" t="s">
        <v>45</v>
      </c>
      <c r="E106" s="3">
        <v>1</v>
      </c>
      <c r="F106" s="3" t="s">
        <v>46</v>
      </c>
      <c r="G106" s="8">
        <v>3</v>
      </c>
      <c r="H106" s="3">
        <v>0.193</v>
      </c>
      <c r="I106" s="8">
        <f t="shared" si="3"/>
        <v>0.21445783132530119</v>
      </c>
      <c r="J106" s="3">
        <f t="shared" si="4"/>
        <v>0.21445783132530119</v>
      </c>
      <c r="K106" s="4">
        <f t="shared" si="5"/>
        <v>0.21445783132530119</v>
      </c>
      <c r="L106" s="4"/>
      <c r="M106" s="4"/>
      <c r="N106" s="4"/>
      <c r="O106" s="4"/>
      <c r="P106" s="4"/>
      <c r="Q106" s="4"/>
      <c r="R106" s="4"/>
      <c r="S106" s="4"/>
    </row>
    <row r="107" spans="1:19">
      <c r="A107" s="2" t="s">
        <v>229</v>
      </c>
      <c r="B107" s="3" t="s">
        <v>230</v>
      </c>
      <c r="C107" s="8">
        <v>50</v>
      </c>
      <c r="D107" s="8" t="s">
        <v>13</v>
      </c>
      <c r="E107" s="3">
        <v>1</v>
      </c>
      <c r="F107" s="3" t="s">
        <v>14</v>
      </c>
      <c r="G107" s="8">
        <v>1</v>
      </c>
      <c r="H107" s="3">
        <v>5.1999999999999998E-2</v>
      </c>
      <c r="I107" s="8">
        <f t="shared" si="3"/>
        <v>-9.4414019715224548E-2</v>
      </c>
      <c r="J107" s="3">
        <f t="shared" si="4"/>
        <v>-9.4414019715224548E-2</v>
      </c>
      <c r="K107" s="4">
        <f t="shared" si="5"/>
        <v>0</v>
      </c>
    </row>
    <row r="108" spans="1:19">
      <c r="A108" s="2" t="s">
        <v>231</v>
      </c>
      <c r="B108" s="3" t="s">
        <v>232</v>
      </c>
      <c r="C108" s="8">
        <v>50</v>
      </c>
      <c r="D108" s="8" t="s">
        <v>13</v>
      </c>
      <c r="E108" s="3">
        <v>1</v>
      </c>
      <c r="F108" s="3" t="s">
        <v>14</v>
      </c>
      <c r="G108" s="8">
        <v>2</v>
      </c>
      <c r="H108" s="3">
        <v>5.0999999999999997E-2</v>
      </c>
      <c r="I108" s="8">
        <f t="shared" si="3"/>
        <v>-9.6604600219058062E-2</v>
      </c>
      <c r="J108" s="3">
        <f t="shared" si="4"/>
        <v>-9.6604600219058062E-2</v>
      </c>
      <c r="K108" s="4">
        <f t="shared" si="5"/>
        <v>0</v>
      </c>
    </row>
    <row r="109" spans="1:19">
      <c r="A109" s="2" t="s">
        <v>233</v>
      </c>
      <c r="B109" s="3" t="s">
        <v>234</v>
      </c>
      <c r="C109" s="8">
        <v>50</v>
      </c>
      <c r="D109" s="8" t="s">
        <v>13</v>
      </c>
      <c r="E109" s="3">
        <v>1</v>
      </c>
      <c r="F109" s="3" t="s">
        <v>14</v>
      </c>
      <c r="G109" s="8">
        <v>3</v>
      </c>
      <c r="H109" s="3">
        <v>0.05</v>
      </c>
      <c r="I109" s="8">
        <f t="shared" si="3"/>
        <v>-9.8795180722891562E-2</v>
      </c>
      <c r="J109" s="3">
        <f t="shared" si="4"/>
        <v>-9.8795180722891562E-2</v>
      </c>
      <c r="K109" s="4">
        <f t="shared" si="5"/>
        <v>0</v>
      </c>
    </row>
    <row r="110" spans="1:19">
      <c r="A110" s="2" t="s">
        <v>235</v>
      </c>
      <c r="B110" s="3" t="s">
        <v>236</v>
      </c>
      <c r="C110" s="8">
        <v>50</v>
      </c>
      <c r="D110" s="8" t="s">
        <v>21</v>
      </c>
      <c r="E110" s="3">
        <v>1</v>
      </c>
      <c r="F110" s="3" t="s">
        <v>22</v>
      </c>
      <c r="G110" s="8">
        <v>1</v>
      </c>
      <c r="H110" s="3">
        <v>0.218</v>
      </c>
      <c r="I110" s="8">
        <f t="shared" si="3"/>
        <v>0.26922234392113908</v>
      </c>
      <c r="J110" s="3">
        <f t="shared" si="4"/>
        <v>0.26922234392113908</v>
      </c>
      <c r="K110" s="4">
        <f t="shared" si="5"/>
        <v>0.26922234392113908</v>
      </c>
    </row>
    <row r="111" spans="1:19">
      <c r="A111" s="2" t="s">
        <v>237</v>
      </c>
      <c r="B111" s="3" t="s">
        <v>238</v>
      </c>
      <c r="C111" s="8">
        <v>50</v>
      </c>
      <c r="D111" s="8" t="s">
        <v>21</v>
      </c>
      <c r="E111" s="3">
        <v>1</v>
      </c>
      <c r="F111" s="3" t="s">
        <v>22</v>
      </c>
      <c r="G111" s="8">
        <v>2</v>
      </c>
      <c r="H111" s="3">
        <v>0.16500000000000001</v>
      </c>
      <c r="I111" s="8">
        <f t="shared" si="3"/>
        <v>0.15312157721796277</v>
      </c>
      <c r="J111" s="3">
        <f t="shared" si="4"/>
        <v>0.15312157721796277</v>
      </c>
      <c r="K111" s="4">
        <f t="shared" si="5"/>
        <v>0.15312157721796277</v>
      </c>
    </row>
    <row r="112" spans="1:19">
      <c r="A112" s="2" t="s">
        <v>239</v>
      </c>
      <c r="B112" s="3" t="s">
        <v>240</v>
      </c>
      <c r="C112" s="8">
        <v>50</v>
      </c>
      <c r="D112" s="8" t="s">
        <v>21</v>
      </c>
      <c r="E112" s="3">
        <v>1</v>
      </c>
      <c r="F112" s="3" t="s">
        <v>22</v>
      </c>
      <c r="G112" s="8">
        <v>3</v>
      </c>
      <c r="H112" s="3">
        <v>0.14199999999999999</v>
      </c>
      <c r="I112" s="8">
        <f t="shared" si="3"/>
        <v>0.10273822562979186</v>
      </c>
      <c r="J112" s="3">
        <f t="shared" si="4"/>
        <v>0.10273822562979186</v>
      </c>
      <c r="K112" s="4">
        <f t="shared" si="5"/>
        <v>0.10273822562979186</v>
      </c>
    </row>
    <row r="113" spans="1:11">
      <c r="A113" s="2" t="s">
        <v>241</v>
      </c>
      <c r="B113" s="3" t="s">
        <v>242</v>
      </c>
      <c r="C113" s="8">
        <v>50</v>
      </c>
      <c r="D113" s="8" t="s">
        <v>29</v>
      </c>
      <c r="E113" s="3">
        <v>1</v>
      </c>
      <c r="F113" s="3" t="s">
        <v>30</v>
      </c>
      <c r="G113" s="8">
        <v>1</v>
      </c>
      <c r="H113" s="3">
        <v>7.9000000000000001E-2</v>
      </c>
      <c r="I113" s="8">
        <f t="shared" si="3"/>
        <v>-3.5268346111719612E-2</v>
      </c>
      <c r="J113" s="3">
        <f t="shared" si="4"/>
        <v>-3.5268346111719612E-2</v>
      </c>
      <c r="K113" s="4">
        <f t="shared" si="5"/>
        <v>0</v>
      </c>
    </row>
    <row r="114" spans="1:11">
      <c r="A114" s="2" t="s">
        <v>243</v>
      </c>
      <c r="B114" s="3" t="s">
        <v>244</v>
      </c>
      <c r="C114" s="8">
        <v>50</v>
      </c>
      <c r="D114" s="8" t="s">
        <v>29</v>
      </c>
      <c r="E114" s="3">
        <v>1</v>
      </c>
      <c r="F114" s="3" t="s">
        <v>30</v>
      </c>
      <c r="G114" s="8">
        <v>2</v>
      </c>
      <c r="H114" s="3">
        <v>7.4999999999999997E-2</v>
      </c>
      <c r="I114" s="8">
        <f t="shared" si="3"/>
        <v>-4.4030668127053682E-2</v>
      </c>
      <c r="J114" s="3">
        <f t="shared" si="4"/>
        <v>-4.4030668127053682E-2</v>
      </c>
      <c r="K114" s="4">
        <f t="shared" si="5"/>
        <v>0</v>
      </c>
    </row>
    <row r="115" spans="1:11">
      <c r="A115" s="2" t="s">
        <v>245</v>
      </c>
      <c r="B115" s="3" t="s">
        <v>246</v>
      </c>
      <c r="C115" s="8">
        <v>50</v>
      </c>
      <c r="D115" s="8" t="s">
        <v>29</v>
      </c>
      <c r="E115" s="3">
        <v>1</v>
      </c>
      <c r="F115" s="3" t="s">
        <v>30</v>
      </c>
      <c r="G115" s="8">
        <v>3</v>
      </c>
      <c r="H115" s="3">
        <v>0.104</v>
      </c>
      <c r="I115" s="8">
        <f t="shared" si="3"/>
        <v>1.9496166484118272E-2</v>
      </c>
      <c r="J115" s="3">
        <f t="shared" si="4"/>
        <v>1.9496166484118272E-2</v>
      </c>
      <c r="K115" s="4">
        <f t="shared" si="5"/>
        <v>1.9496166484118272E-2</v>
      </c>
    </row>
    <row r="116" spans="1:11">
      <c r="A116" s="2" t="s">
        <v>247</v>
      </c>
      <c r="B116" s="3" t="s">
        <v>248</v>
      </c>
      <c r="C116" s="8">
        <v>50</v>
      </c>
      <c r="D116" s="8" t="s">
        <v>37</v>
      </c>
      <c r="E116" s="3">
        <v>1</v>
      </c>
      <c r="F116" s="3" t="s">
        <v>38</v>
      </c>
      <c r="G116" s="8">
        <v>1</v>
      </c>
      <c r="H116" s="3">
        <v>0.625</v>
      </c>
      <c r="I116" s="8">
        <f t="shared" si="3"/>
        <v>1.1607886089813801</v>
      </c>
      <c r="J116" s="3">
        <f t="shared" si="4"/>
        <v>1.1607886089813801</v>
      </c>
      <c r="K116" s="4">
        <f t="shared" si="5"/>
        <v>1.1607886089813801</v>
      </c>
    </row>
    <row r="117" spans="1:11">
      <c r="A117" s="2" t="s">
        <v>249</v>
      </c>
      <c r="B117" s="3" t="s">
        <v>250</v>
      </c>
      <c r="C117" s="8">
        <v>50</v>
      </c>
      <c r="D117" s="8" t="s">
        <v>37</v>
      </c>
      <c r="E117" s="3">
        <v>1</v>
      </c>
      <c r="F117" s="3" t="s">
        <v>38</v>
      </c>
      <c r="G117" s="8">
        <v>2</v>
      </c>
      <c r="H117" s="3">
        <v>0.59499999999999997</v>
      </c>
      <c r="I117" s="8">
        <f t="shared" si="3"/>
        <v>1.0950711938663744</v>
      </c>
      <c r="J117" s="3">
        <f t="shared" si="4"/>
        <v>1.0950711938663744</v>
      </c>
      <c r="K117" s="4">
        <f t="shared" si="5"/>
        <v>1.0950711938663744</v>
      </c>
    </row>
    <row r="118" spans="1:11">
      <c r="A118" s="2" t="s">
        <v>251</v>
      </c>
      <c r="B118" s="3" t="s">
        <v>252</v>
      </c>
      <c r="C118" s="8">
        <v>50</v>
      </c>
      <c r="D118" s="8" t="s">
        <v>37</v>
      </c>
      <c r="E118" s="3">
        <v>1</v>
      </c>
      <c r="F118" s="3" t="s">
        <v>38</v>
      </c>
      <c r="G118" s="8">
        <v>3</v>
      </c>
      <c r="H118" s="3">
        <v>0.47099999999999997</v>
      </c>
      <c r="I118" s="8">
        <f t="shared" si="3"/>
        <v>0.8234392113910185</v>
      </c>
      <c r="J118" s="3">
        <f t="shared" si="4"/>
        <v>0.8234392113910185</v>
      </c>
      <c r="K118" s="4">
        <f t="shared" si="5"/>
        <v>0.8234392113910185</v>
      </c>
    </row>
    <row r="119" spans="1:11">
      <c r="A119" s="2" t="s">
        <v>253</v>
      </c>
      <c r="B119" s="3" t="s">
        <v>254</v>
      </c>
      <c r="C119" s="8">
        <v>50</v>
      </c>
      <c r="D119" s="8" t="s">
        <v>45</v>
      </c>
      <c r="E119" s="3">
        <v>1</v>
      </c>
      <c r="F119" s="3" t="s">
        <v>46</v>
      </c>
      <c r="G119" s="8">
        <v>1</v>
      </c>
      <c r="H119" s="3">
        <v>0.17199999999999999</v>
      </c>
      <c r="I119" s="8">
        <f t="shared" ref="I119:I181" si="6">(H119-0.0951)/0.4565</f>
        <v>0.16845564074479732</v>
      </c>
      <c r="J119" s="3">
        <f t="shared" si="4"/>
        <v>0.16845564074479732</v>
      </c>
      <c r="K119" s="4">
        <f t="shared" si="5"/>
        <v>0.16845564074479732</v>
      </c>
    </row>
    <row r="120" spans="1:11">
      <c r="A120" s="2" t="s">
        <v>255</v>
      </c>
      <c r="B120" s="3" t="s">
        <v>256</v>
      </c>
      <c r="C120" s="8">
        <v>50</v>
      </c>
      <c r="D120" s="8" t="s">
        <v>45</v>
      </c>
      <c r="E120" s="3">
        <v>1</v>
      </c>
      <c r="F120" s="3" t="s">
        <v>46</v>
      </c>
      <c r="G120" s="8">
        <v>2</v>
      </c>
      <c r="H120" s="3">
        <v>0.13800000000000001</v>
      </c>
      <c r="I120" s="8">
        <f t="shared" si="6"/>
        <v>9.3975903614457845E-2</v>
      </c>
      <c r="J120" s="3">
        <f t="shared" si="4"/>
        <v>9.3975903614457845E-2</v>
      </c>
      <c r="K120" s="4">
        <f t="shared" si="5"/>
        <v>9.3975903614457845E-2</v>
      </c>
    </row>
    <row r="121" spans="1:11">
      <c r="A121" s="2" t="s">
        <v>257</v>
      </c>
      <c r="B121" s="3" t="s">
        <v>258</v>
      </c>
      <c r="C121" s="8">
        <v>50</v>
      </c>
      <c r="D121" s="8" t="s">
        <v>45</v>
      </c>
      <c r="E121" s="3">
        <v>1</v>
      </c>
      <c r="F121" s="3" t="s">
        <v>46</v>
      </c>
      <c r="G121" s="8">
        <v>3</v>
      </c>
      <c r="H121" s="3">
        <v>0.16200000000000001</v>
      </c>
      <c r="I121" s="8">
        <f t="shared" si="6"/>
        <v>0.14654983570646221</v>
      </c>
      <c r="J121" s="3">
        <f t="shared" si="4"/>
        <v>0.14654983570646221</v>
      </c>
      <c r="K121" s="4">
        <f t="shared" si="5"/>
        <v>0.14654983570646221</v>
      </c>
    </row>
    <row r="122" spans="1:11">
      <c r="A122" s="2" t="s">
        <v>259</v>
      </c>
      <c r="B122" s="3" t="s">
        <v>260</v>
      </c>
      <c r="C122" s="8">
        <v>56</v>
      </c>
      <c r="D122" s="8" t="s">
        <v>13</v>
      </c>
      <c r="E122" s="3">
        <v>1</v>
      </c>
      <c r="F122" s="3" t="s">
        <v>14</v>
      </c>
      <c r="G122" s="8">
        <v>1</v>
      </c>
      <c r="H122" s="3">
        <v>5.6000000000000001E-2</v>
      </c>
      <c r="I122" s="8">
        <f t="shared" si="6"/>
        <v>-8.5651697699890478E-2</v>
      </c>
      <c r="J122" s="3">
        <f t="shared" si="4"/>
        <v>-8.5651697699890478E-2</v>
      </c>
      <c r="K122" s="4">
        <f t="shared" si="5"/>
        <v>0</v>
      </c>
    </row>
    <row r="123" spans="1:11">
      <c r="A123" s="2" t="s">
        <v>261</v>
      </c>
      <c r="B123" s="3" t="s">
        <v>262</v>
      </c>
      <c r="C123" s="8">
        <v>56</v>
      </c>
      <c r="D123" s="8" t="s">
        <v>13</v>
      </c>
      <c r="E123" s="3">
        <v>1</v>
      </c>
      <c r="F123" s="3" t="s">
        <v>14</v>
      </c>
      <c r="G123" s="8">
        <v>2</v>
      </c>
      <c r="H123" s="3">
        <v>5.6000000000000001E-2</v>
      </c>
      <c r="I123" s="8">
        <f t="shared" si="6"/>
        <v>-8.5651697699890478E-2</v>
      </c>
      <c r="J123" s="3">
        <f t="shared" si="4"/>
        <v>-8.5651697699890478E-2</v>
      </c>
      <c r="K123" s="4">
        <f t="shared" si="5"/>
        <v>0</v>
      </c>
    </row>
    <row r="124" spans="1:11">
      <c r="A124" s="2" t="s">
        <v>263</v>
      </c>
      <c r="B124" s="3" t="s">
        <v>264</v>
      </c>
      <c r="C124" s="8">
        <v>56</v>
      </c>
      <c r="D124" s="8" t="s">
        <v>13</v>
      </c>
      <c r="E124" s="3">
        <v>1</v>
      </c>
      <c r="F124" s="3" t="s">
        <v>14</v>
      </c>
      <c r="G124" s="8">
        <v>3</v>
      </c>
      <c r="H124" s="3">
        <v>5.1999999999999998E-2</v>
      </c>
      <c r="I124" s="8">
        <f t="shared" si="6"/>
        <v>-9.4414019715224548E-2</v>
      </c>
      <c r="J124" s="3">
        <f t="shared" si="4"/>
        <v>-9.4414019715224548E-2</v>
      </c>
      <c r="K124" s="4">
        <f t="shared" si="5"/>
        <v>0</v>
      </c>
    </row>
    <row r="125" spans="1:11">
      <c r="A125" s="2" t="s">
        <v>265</v>
      </c>
      <c r="B125" s="3" t="s">
        <v>266</v>
      </c>
      <c r="C125" s="8">
        <v>56</v>
      </c>
      <c r="D125" s="8" t="s">
        <v>21</v>
      </c>
      <c r="E125" s="3">
        <v>1</v>
      </c>
      <c r="F125" s="3" t="s">
        <v>22</v>
      </c>
      <c r="G125" s="8">
        <v>1</v>
      </c>
      <c r="H125" s="3">
        <v>0.14799999999999999</v>
      </c>
      <c r="I125" s="8">
        <f t="shared" si="6"/>
        <v>0.11588170865279296</v>
      </c>
      <c r="J125" s="3">
        <f t="shared" si="4"/>
        <v>0.11588170865279296</v>
      </c>
      <c r="K125" s="4">
        <f t="shared" si="5"/>
        <v>0.11588170865279296</v>
      </c>
    </row>
    <row r="126" spans="1:11">
      <c r="A126" s="2" t="s">
        <v>267</v>
      </c>
      <c r="B126" s="3" t="s">
        <v>268</v>
      </c>
      <c r="C126" s="8">
        <v>56</v>
      </c>
      <c r="D126" s="8" t="s">
        <v>21</v>
      </c>
      <c r="E126" s="3">
        <v>1</v>
      </c>
      <c r="F126" s="3" t="s">
        <v>22</v>
      </c>
      <c r="G126" s="8">
        <v>2</v>
      </c>
      <c r="H126" s="3">
        <v>0.193</v>
      </c>
      <c r="I126" s="8">
        <f t="shared" si="6"/>
        <v>0.21445783132530119</v>
      </c>
      <c r="J126" s="3">
        <f t="shared" si="4"/>
        <v>0.21445783132530119</v>
      </c>
      <c r="K126" s="4">
        <f t="shared" si="5"/>
        <v>0.21445783132530119</v>
      </c>
    </row>
    <row r="127" spans="1:11">
      <c r="A127" s="2" t="s">
        <v>269</v>
      </c>
      <c r="B127" s="3" t="s">
        <v>270</v>
      </c>
      <c r="C127" s="8">
        <v>56</v>
      </c>
      <c r="D127" s="8" t="s">
        <v>21</v>
      </c>
      <c r="E127" s="3">
        <v>1</v>
      </c>
      <c r="F127" s="3" t="s">
        <v>22</v>
      </c>
      <c r="G127" s="8">
        <v>3</v>
      </c>
      <c r="H127" s="3">
        <v>0.23300000000000001</v>
      </c>
      <c r="I127" s="8">
        <f t="shared" si="6"/>
        <v>0.30208105147864189</v>
      </c>
      <c r="J127" s="3">
        <f t="shared" si="4"/>
        <v>0.30208105147864189</v>
      </c>
      <c r="K127" s="4">
        <f t="shared" si="5"/>
        <v>0.30208105147864189</v>
      </c>
    </row>
    <row r="128" spans="1:11">
      <c r="A128" s="2" t="s">
        <v>271</v>
      </c>
      <c r="B128" s="3" t="s">
        <v>272</v>
      </c>
      <c r="C128" s="8">
        <v>56</v>
      </c>
      <c r="D128" s="8" t="s">
        <v>29</v>
      </c>
      <c r="E128" s="3">
        <v>1</v>
      </c>
      <c r="F128" s="3" t="s">
        <v>30</v>
      </c>
      <c r="G128" s="8">
        <v>1</v>
      </c>
      <c r="H128" s="3">
        <v>8.1000000000000003E-2</v>
      </c>
      <c r="I128" s="8">
        <f t="shared" si="6"/>
        <v>-3.0887185104052577E-2</v>
      </c>
      <c r="J128" s="3">
        <f t="shared" si="4"/>
        <v>-3.0887185104052577E-2</v>
      </c>
      <c r="K128" s="4">
        <f t="shared" si="5"/>
        <v>0</v>
      </c>
    </row>
    <row r="129" spans="1:11">
      <c r="A129" s="2" t="s">
        <v>273</v>
      </c>
      <c r="B129" s="3" t="s">
        <v>274</v>
      </c>
      <c r="C129" s="8">
        <v>56</v>
      </c>
      <c r="D129" s="8" t="s">
        <v>29</v>
      </c>
      <c r="E129" s="3">
        <v>1</v>
      </c>
      <c r="F129" s="3" t="s">
        <v>30</v>
      </c>
      <c r="G129" s="8">
        <v>2</v>
      </c>
      <c r="H129" s="3">
        <v>7.1999999999999995E-2</v>
      </c>
      <c r="I129" s="8">
        <f t="shared" si="6"/>
        <v>-5.0602409638554238E-2</v>
      </c>
      <c r="J129" s="3">
        <f t="shared" si="4"/>
        <v>-5.0602409638554238E-2</v>
      </c>
      <c r="K129" s="4">
        <f t="shared" si="5"/>
        <v>0</v>
      </c>
    </row>
    <row r="130" spans="1:11">
      <c r="A130" s="2" t="s">
        <v>275</v>
      </c>
      <c r="B130" s="3" t="s">
        <v>276</v>
      </c>
      <c r="C130" s="8">
        <v>56</v>
      </c>
      <c r="D130" s="8" t="s">
        <v>29</v>
      </c>
      <c r="E130" s="3">
        <v>1</v>
      </c>
      <c r="F130" s="3" t="s">
        <v>30</v>
      </c>
      <c r="G130" s="8">
        <v>3</v>
      </c>
      <c r="H130" s="3">
        <v>8.6999999999999994E-2</v>
      </c>
      <c r="I130" s="8">
        <f t="shared" si="6"/>
        <v>-1.7743702081051499E-2</v>
      </c>
      <c r="J130" s="3">
        <f t="shared" si="4"/>
        <v>-1.7743702081051499E-2</v>
      </c>
      <c r="K130" s="4">
        <f t="shared" si="5"/>
        <v>0</v>
      </c>
    </row>
    <row r="131" spans="1:11">
      <c r="A131" s="2" t="s">
        <v>277</v>
      </c>
      <c r="B131" s="3" t="s">
        <v>278</v>
      </c>
      <c r="C131" s="8">
        <v>56</v>
      </c>
      <c r="D131" s="8" t="s">
        <v>37</v>
      </c>
      <c r="E131" s="3">
        <v>1</v>
      </c>
      <c r="F131" s="3" t="s">
        <v>38</v>
      </c>
      <c r="G131" s="8">
        <v>1</v>
      </c>
      <c r="H131" s="3">
        <v>0.65200000000000002</v>
      </c>
      <c r="I131" s="8">
        <f t="shared" si="6"/>
        <v>1.2199342825848851</v>
      </c>
      <c r="J131" s="3">
        <f t="shared" ref="J131:J194" si="7">I131*E131</f>
        <v>1.2199342825848851</v>
      </c>
      <c r="K131" s="4">
        <f t="shared" ref="K131:K194" si="8">IF(J131 &lt; 0, 0, J131)</f>
        <v>1.2199342825848851</v>
      </c>
    </row>
    <row r="132" spans="1:11">
      <c r="A132" s="2" t="s">
        <v>279</v>
      </c>
      <c r="B132" s="3" t="s">
        <v>280</v>
      </c>
      <c r="C132" s="8">
        <v>56</v>
      </c>
      <c r="D132" s="8" t="s">
        <v>37</v>
      </c>
      <c r="E132" s="3">
        <v>1</v>
      </c>
      <c r="F132" s="3" t="s">
        <v>38</v>
      </c>
      <c r="G132" s="8">
        <v>2</v>
      </c>
      <c r="H132" s="3">
        <v>0.68300000000000005</v>
      </c>
      <c r="I132" s="8">
        <f t="shared" si="6"/>
        <v>1.2878422782037242</v>
      </c>
      <c r="J132" s="3">
        <f t="shared" si="7"/>
        <v>1.2878422782037242</v>
      </c>
      <c r="K132" s="4">
        <f t="shared" si="8"/>
        <v>1.2878422782037242</v>
      </c>
    </row>
    <row r="133" spans="1:11">
      <c r="A133" s="2" t="s">
        <v>281</v>
      </c>
      <c r="B133" s="3" t="s">
        <v>282</v>
      </c>
      <c r="C133" s="8">
        <v>56</v>
      </c>
      <c r="D133" s="8" t="s">
        <v>37</v>
      </c>
      <c r="E133" s="3">
        <v>1</v>
      </c>
      <c r="F133" s="3" t="s">
        <v>38</v>
      </c>
      <c r="G133" s="8">
        <v>3</v>
      </c>
      <c r="H133" s="3">
        <v>0.44400000000000001</v>
      </c>
      <c r="I133" s="8">
        <f t="shared" si="6"/>
        <v>0.76429353778751363</v>
      </c>
      <c r="J133" s="3">
        <f t="shared" si="7"/>
        <v>0.76429353778751363</v>
      </c>
      <c r="K133" s="4">
        <f t="shared" si="8"/>
        <v>0.76429353778751363</v>
      </c>
    </row>
    <row r="134" spans="1:11">
      <c r="A134" s="2" t="s">
        <v>283</v>
      </c>
      <c r="B134" s="3" t="s">
        <v>284</v>
      </c>
      <c r="C134" s="8">
        <v>56</v>
      </c>
      <c r="D134" s="8" t="s">
        <v>45</v>
      </c>
      <c r="E134" s="3">
        <v>1</v>
      </c>
      <c r="F134" s="3" t="s">
        <v>46</v>
      </c>
      <c r="G134" s="8">
        <v>1</v>
      </c>
      <c r="H134" s="3">
        <v>0.121</v>
      </c>
      <c r="I134" s="8">
        <f t="shared" si="6"/>
        <v>5.6736035049288043E-2</v>
      </c>
      <c r="J134" s="3">
        <f t="shared" si="7"/>
        <v>5.6736035049288043E-2</v>
      </c>
      <c r="K134" s="4">
        <f t="shared" si="8"/>
        <v>5.6736035049288043E-2</v>
      </c>
    </row>
    <row r="135" spans="1:11">
      <c r="A135" s="2" t="s">
        <v>285</v>
      </c>
      <c r="B135" s="3" t="s">
        <v>286</v>
      </c>
      <c r="C135" s="8">
        <v>56</v>
      </c>
      <c r="D135" s="8" t="s">
        <v>45</v>
      </c>
      <c r="E135" s="3">
        <v>1</v>
      </c>
      <c r="F135" s="3" t="s">
        <v>46</v>
      </c>
      <c r="G135" s="8">
        <v>2</v>
      </c>
      <c r="H135" s="3">
        <v>0.11899999999999999</v>
      </c>
      <c r="I135" s="8">
        <f t="shared" si="6"/>
        <v>5.2354874041621008E-2</v>
      </c>
      <c r="J135" s="3">
        <f t="shared" si="7"/>
        <v>5.2354874041621008E-2</v>
      </c>
      <c r="K135" s="4">
        <f t="shared" si="8"/>
        <v>5.2354874041621008E-2</v>
      </c>
    </row>
    <row r="136" spans="1:11">
      <c r="A136" s="2" t="s">
        <v>287</v>
      </c>
      <c r="B136" s="3" t="s">
        <v>288</v>
      </c>
      <c r="C136" s="8">
        <v>56</v>
      </c>
      <c r="D136" s="8" t="s">
        <v>45</v>
      </c>
      <c r="E136" s="3">
        <v>1</v>
      </c>
      <c r="F136" s="3" t="s">
        <v>46</v>
      </c>
      <c r="G136" s="8">
        <v>3</v>
      </c>
      <c r="H136" s="3">
        <v>0.125</v>
      </c>
      <c r="I136" s="8">
        <f t="shared" si="6"/>
        <v>6.549835706462212E-2</v>
      </c>
      <c r="J136" s="3">
        <f t="shared" si="7"/>
        <v>6.549835706462212E-2</v>
      </c>
      <c r="K136" s="4">
        <f t="shared" si="8"/>
        <v>6.549835706462212E-2</v>
      </c>
    </row>
    <row r="137" spans="1:11">
      <c r="A137" s="2" t="s">
        <v>289</v>
      </c>
      <c r="B137" s="3" t="s">
        <v>290</v>
      </c>
      <c r="C137" s="8">
        <v>65</v>
      </c>
      <c r="D137" s="8" t="s">
        <v>13</v>
      </c>
      <c r="E137" s="3">
        <v>1</v>
      </c>
      <c r="F137" s="3" t="s">
        <v>14</v>
      </c>
      <c r="G137" s="8">
        <v>1</v>
      </c>
      <c r="H137" s="3">
        <v>5.5E-2</v>
      </c>
      <c r="I137" s="8">
        <f t="shared" si="6"/>
        <v>-8.7842278203723992E-2</v>
      </c>
      <c r="J137" s="3">
        <f t="shared" si="7"/>
        <v>-8.7842278203723992E-2</v>
      </c>
      <c r="K137" s="4">
        <f t="shared" si="8"/>
        <v>0</v>
      </c>
    </row>
    <row r="138" spans="1:11">
      <c r="A138" s="2" t="s">
        <v>291</v>
      </c>
      <c r="B138" s="3" t="s">
        <v>292</v>
      </c>
      <c r="C138" s="8">
        <v>65</v>
      </c>
      <c r="D138" s="8" t="s">
        <v>13</v>
      </c>
      <c r="E138" s="3">
        <v>1</v>
      </c>
      <c r="F138" s="3" t="s">
        <v>14</v>
      </c>
      <c r="G138" s="8">
        <v>2</v>
      </c>
      <c r="H138" s="3">
        <v>5.3999999999999999E-2</v>
      </c>
      <c r="I138" s="8">
        <f t="shared" si="6"/>
        <v>-9.0032858707557506E-2</v>
      </c>
      <c r="J138" s="3">
        <f t="shared" si="7"/>
        <v>-9.0032858707557506E-2</v>
      </c>
      <c r="K138" s="4">
        <f t="shared" si="8"/>
        <v>0</v>
      </c>
    </row>
    <row r="139" spans="1:11">
      <c r="A139" s="2" t="s">
        <v>293</v>
      </c>
      <c r="B139" s="3" t="s">
        <v>294</v>
      </c>
      <c r="C139" s="8">
        <v>65</v>
      </c>
      <c r="D139" s="8" t="s">
        <v>13</v>
      </c>
      <c r="E139" s="3">
        <v>1</v>
      </c>
      <c r="F139" s="3" t="s">
        <v>14</v>
      </c>
      <c r="G139" s="8">
        <v>3</v>
      </c>
      <c r="H139" s="3">
        <v>5.2999999999999999E-2</v>
      </c>
      <c r="I139" s="8">
        <f t="shared" si="6"/>
        <v>-9.2223439211391034E-2</v>
      </c>
      <c r="J139" s="3">
        <f t="shared" si="7"/>
        <v>-9.2223439211391034E-2</v>
      </c>
      <c r="K139" s="4">
        <f t="shared" si="8"/>
        <v>0</v>
      </c>
    </row>
    <row r="140" spans="1:11">
      <c r="A140" s="2" t="s">
        <v>295</v>
      </c>
      <c r="B140" s="3" t="s">
        <v>296</v>
      </c>
      <c r="C140" s="8">
        <v>65</v>
      </c>
      <c r="D140" s="8" t="s">
        <v>21</v>
      </c>
      <c r="E140" s="3">
        <v>1</v>
      </c>
      <c r="F140" s="3" t="s">
        <v>22</v>
      </c>
      <c r="G140" s="8">
        <v>1</v>
      </c>
      <c r="H140" s="3">
        <v>0.121</v>
      </c>
      <c r="I140" s="8">
        <f t="shared" si="6"/>
        <v>5.6736035049288043E-2</v>
      </c>
      <c r="J140" s="3">
        <f t="shared" si="7"/>
        <v>5.6736035049288043E-2</v>
      </c>
      <c r="K140" s="4">
        <f t="shared" si="8"/>
        <v>5.6736035049288043E-2</v>
      </c>
    </row>
    <row r="141" spans="1:11">
      <c r="A141" s="2" t="s">
        <v>297</v>
      </c>
      <c r="B141" s="3" t="s">
        <v>298</v>
      </c>
      <c r="C141" s="8">
        <v>65</v>
      </c>
      <c r="D141" s="8" t="s">
        <v>21</v>
      </c>
      <c r="E141" s="3">
        <v>1</v>
      </c>
      <c r="F141" s="3" t="s">
        <v>22</v>
      </c>
      <c r="G141" s="8">
        <v>2</v>
      </c>
      <c r="H141" s="3">
        <v>0.11899999999999999</v>
      </c>
      <c r="I141" s="8">
        <f t="shared" si="6"/>
        <v>5.2354874041621008E-2</v>
      </c>
      <c r="J141" s="3">
        <f t="shared" si="7"/>
        <v>5.2354874041621008E-2</v>
      </c>
      <c r="K141" s="4">
        <f t="shared" si="8"/>
        <v>5.2354874041621008E-2</v>
      </c>
    </row>
    <row r="142" spans="1:11">
      <c r="A142" s="2" t="s">
        <v>299</v>
      </c>
      <c r="B142" s="3" t="s">
        <v>300</v>
      </c>
      <c r="C142" s="8">
        <v>65</v>
      </c>
      <c r="D142" s="8" t="s">
        <v>21</v>
      </c>
      <c r="E142" s="3">
        <v>1</v>
      </c>
      <c r="F142" s="3" t="s">
        <v>22</v>
      </c>
      <c r="G142" s="8">
        <v>3</v>
      </c>
      <c r="H142" s="3">
        <v>0.11700000000000001</v>
      </c>
      <c r="I142" s="8">
        <f t="shared" si="6"/>
        <v>4.7973713033954E-2</v>
      </c>
      <c r="J142" s="3">
        <f t="shared" si="7"/>
        <v>4.7973713033954E-2</v>
      </c>
      <c r="K142" s="4">
        <f t="shared" si="8"/>
        <v>4.7973713033954E-2</v>
      </c>
    </row>
    <row r="143" spans="1:11">
      <c r="A143" s="2" t="s">
        <v>301</v>
      </c>
      <c r="B143" s="3" t="s">
        <v>302</v>
      </c>
      <c r="C143" s="8">
        <v>65</v>
      </c>
      <c r="D143" s="8" t="s">
        <v>29</v>
      </c>
      <c r="E143" s="3">
        <v>1</v>
      </c>
      <c r="F143" s="3" t="s">
        <v>30</v>
      </c>
      <c r="G143" s="8">
        <v>1</v>
      </c>
      <c r="H143" s="3">
        <v>6.3E-2</v>
      </c>
      <c r="I143" s="8">
        <f t="shared" si="6"/>
        <v>-7.0317634173055865E-2</v>
      </c>
      <c r="J143" s="3">
        <f t="shared" si="7"/>
        <v>-7.0317634173055865E-2</v>
      </c>
      <c r="K143" s="4">
        <f t="shared" si="8"/>
        <v>0</v>
      </c>
    </row>
    <row r="144" spans="1:11">
      <c r="A144" s="2" t="s">
        <v>303</v>
      </c>
      <c r="B144" s="3" t="s">
        <v>304</v>
      </c>
      <c r="C144" s="8">
        <v>65</v>
      </c>
      <c r="D144" s="8" t="s">
        <v>29</v>
      </c>
      <c r="E144" s="3">
        <v>1</v>
      </c>
      <c r="F144" s="3" t="s">
        <v>30</v>
      </c>
      <c r="G144" s="8">
        <v>2</v>
      </c>
      <c r="H144" s="3">
        <v>6.7000000000000004E-2</v>
      </c>
      <c r="I144" s="8">
        <f t="shared" si="6"/>
        <v>-6.1555312157721795E-2</v>
      </c>
      <c r="J144" s="3">
        <f t="shared" si="7"/>
        <v>-6.1555312157721795E-2</v>
      </c>
      <c r="K144" s="4">
        <f t="shared" si="8"/>
        <v>0</v>
      </c>
    </row>
    <row r="145" spans="1:11">
      <c r="A145" s="2" t="s">
        <v>305</v>
      </c>
      <c r="B145" s="3" t="s">
        <v>306</v>
      </c>
      <c r="C145" s="8">
        <v>65</v>
      </c>
      <c r="D145" s="8" t="s">
        <v>29</v>
      </c>
      <c r="E145" s="3">
        <v>1</v>
      </c>
      <c r="F145" s="3" t="s">
        <v>30</v>
      </c>
      <c r="G145" s="8">
        <v>3</v>
      </c>
      <c r="H145" s="3">
        <v>7.0999999999999994E-2</v>
      </c>
      <c r="I145" s="8">
        <f t="shared" si="6"/>
        <v>-5.2792990142387752E-2</v>
      </c>
      <c r="J145" s="3">
        <f t="shared" si="7"/>
        <v>-5.2792990142387752E-2</v>
      </c>
      <c r="K145" s="4">
        <f t="shared" si="8"/>
        <v>0</v>
      </c>
    </row>
    <row r="146" spans="1:11">
      <c r="A146" s="2" t="s">
        <v>307</v>
      </c>
      <c r="B146" s="3" t="s">
        <v>308</v>
      </c>
      <c r="C146" s="8">
        <v>65</v>
      </c>
      <c r="D146" s="8" t="s">
        <v>37</v>
      </c>
      <c r="E146" s="3">
        <v>1</v>
      </c>
      <c r="F146" s="3" t="s">
        <v>38</v>
      </c>
      <c r="G146" s="8">
        <v>1</v>
      </c>
      <c r="H146" s="3">
        <v>0.64400000000000002</v>
      </c>
      <c r="I146" s="8">
        <f t="shared" si="6"/>
        <v>1.2024096385542169</v>
      </c>
      <c r="J146" s="3">
        <f t="shared" si="7"/>
        <v>1.2024096385542169</v>
      </c>
      <c r="K146" s="4">
        <f t="shared" si="8"/>
        <v>1.2024096385542169</v>
      </c>
    </row>
    <row r="147" spans="1:11">
      <c r="A147" s="2" t="s">
        <v>309</v>
      </c>
      <c r="B147" s="3" t="s">
        <v>310</v>
      </c>
      <c r="C147" s="8">
        <v>65</v>
      </c>
      <c r="D147" s="8" t="s">
        <v>37</v>
      </c>
      <c r="E147" s="3">
        <v>1</v>
      </c>
      <c r="F147" s="3" t="s">
        <v>38</v>
      </c>
      <c r="G147" s="8">
        <v>2</v>
      </c>
      <c r="H147" s="3">
        <v>0.76</v>
      </c>
      <c r="I147" s="8">
        <f t="shared" si="6"/>
        <v>1.4565169769989048</v>
      </c>
      <c r="J147" s="3">
        <f t="shared" si="7"/>
        <v>1.4565169769989048</v>
      </c>
      <c r="K147" s="4">
        <f t="shared" si="8"/>
        <v>1.4565169769989048</v>
      </c>
    </row>
    <row r="148" spans="1:11">
      <c r="A148" s="2" t="s">
        <v>311</v>
      </c>
      <c r="B148" s="3" t="s">
        <v>312</v>
      </c>
      <c r="C148" s="8">
        <v>65</v>
      </c>
      <c r="D148" s="8" t="s">
        <v>37</v>
      </c>
      <c r="E148" s="3">
        <v>1</v>
      </c>
      <c r="F148" s="3" t="s">
        <v>38</v>
      </c>
      <c r="G148" s="8">
        <v>3</v>
      </c>
      <c r="H148" s="3">
        <v>0.70799999999999996</v>
      </c>
      <c r="I148" s="8">
        <f t="shared" si="6"/>
        <v>1.3426067907995618</v>
      </c>
      <c r="J148" s="3">
        <f t="shared" si="7"/>
        <v>1.3426067907995618</v>
      </c>
      <c r="K148" s="4">
        <f t="shared" si="8"/>
        <v>1.3426067907995618</v>
      </c>
    </row>
    <row r="149" spans="1:11">
      <c r="A149" s="2" t="s">
        <v>313</v>
      </c>
      <c r="B149" s="3" t="s">
        <v>314</v>
      </c>
      <c r="C149" s="8">
        <v>65</v>
      </c>
      <c r="D149" s="8" t="s">
        <v>45</v>
      </c>
      <c r="E149" s="3">
        <v>1</v>
      </c>
      <c r="F149" s="3" t="s">
        <v>46</v>
      </c>
      <c r="G149" s="8">
        <v>1</v>
      </c>
      <c r="H149" s="3">
        <v>0.156</v>
      </c>
      <c r="I149" s="8">
        <f t="shared" si="6"/>
        <v>0.1334063526834611</v>
      </c>
      <c r="J149" s="3">
        <f t="shared" si="7"/>
        <v>0.1334063526834611</v>
      </c>
      <c r="K149" s="4">
        <f t="shared" si="8"/>
        <v>0.1334063526834611</v>
      </c>
    </row>
    <row r="150" spans="1:11">
      <c r="A150" s="2" t="s">
        <v>315</v>
      </c>
      <c r="B150" s="3" t="s">
        <v>316</v>
      </c>
      <c r="C150" s="8">
        <v>65</v>
      </c>
      <c r="D150" s="8" t="s">
        <v>45</v>
      </c>
      <c r="E150" s="3">
        <v>1</v>
      </c>
      <c r="F150" s="3" t="s">
        <v>46</v>
      </c>
      <c r="G150" s="8">
        <v>2</v>
      </c>
      <c r="H150" s="3">
        <v>0.13500000000000001</v>
      </c>
      <c r="I150" s="8">
        <f t="shared" si="6"/>
        <v>8.7404162102957289E-2</v>
      </c>
      <c r="J150" s="3">
        <f t="shared" si="7"/>
        <v>8.7404162102957289E-2</v>
      </c>
      <c r="K150" s="4">
        <f t="shared" si="8"/>
        <v>8.7404162102957289E-2</v>
      </c>
    </row>
    <row r="151" spans="1:11">
      <c r="A151" s="2" t="s">
        <v>317</v>
      </c>
      <c r="B151" s="3" t="s">
        <v>318</v>
      </c>
      <c r="C151" s="8">
        <v>65</v>
      </c>
      <c r="D151" s="8" t="s">
        <v>45</v>
      </c>
      <c r="E151" s="3">
        <v>1</v>
      </c>
      <c r="F151" s="3" t="s">
        <v>46</v>
      </c>
      <c r="G151" s="8">
        <v>3</v>
      </c>
      <c r="H151" s="3">
        <v>0.153</v>
      </c>
      <c r="I151" s="8">
        <f t="shared" si="6"/>
        <v>0.12683461117196054</v>
      </c>
      <c r="J151" s="3">
        <f t="shared" si="7"/>
        <v>0.12683461117196054</v>
      </c>
      <c r="K151" s="4">
        <f t="shared" si="8"/>
        <v>0.12683461117196054</v>
      </c>
    </row>
    <row r="152" spans="1:11">
      <c r="A152" s="2" t="s">
        <v>319</v>
      </c>
      <c r="B152" s="3" t="s">
        <v>320</v>
      </c>
      <c r="C152" s="8">
        <v>73</v>
      </c>
      <c r="D152" s="8" t="s">
        <v>13</v>
      </c>
      <c r="E152" s="3">
        <v>1</v>
      </c>
      <c r="F152" s="3" t="s">
        <v>14</v>
      </c>
      <c r="G152" s="8">
        <v>1</v>
      </c>
      <c r="H152" s="3">
        <v>6.5000000000000002E-2</v>
      </c>
      <c r="I152" s="8">
        <f t="shared" si="6"/>
        <v>-6.5936473165388823E-2</v>
      </c>
      <c r="J152" s="3">
        <f t="shared" si="7"/>
        <v>-6.5936473165388823E-2</v>
      </c>
      <c r="K152" s="4">
        <f t="shared" si="8"/>
        <v>0</v>
      </c>
    </row>
    <row r="153" spans="1:11">
      <c r="A153" s="2" t="s">
        <v>321</v>
      </c>
      <c r="B153" s="3" t="s">
        <v>322</v>
      </c>
      <c r="C153" s="8">
        <v>73</v>
      </c>
      <c r="D153" s="8" t="s">
        <v>13</v>
      </c>
      <c r="E153" s="3">
        <v>1</v>
      </c>
      <c r="F153" s="3" t="s">
        <v>14</v>
      </c>
      <c r="G153" s="8">
        <v>2</v>
      </c>
      <c r="H153" s="3">
        <v>5.6000000000000001E-2</v>
      </c>
      <c r="I153" s="8">
        <f t="shared" si="6"/>
        <v>-8.5651697699890478E-2</v>
      </c>
      <c r="J153" s="3">
        <f t="shared" si="7"/>
        <v>-8.5651697699890478E-2</v>
      </c>
      <c r="K153" s="4">
        <f t="shared" si="8"/>
        <v>0</v>
      </c>
    </row>
    <row r="154" spans="1:11">
      <c r="A154" s="2" t="s">
        <v>323</v>
      </c>
      <c r="B154" s="3" t="s">
        <v>324</v>
      </c>
      <c r="C154" s="8">
        <v>73</v>
      </c>
      <c r="D154" s="8" t="s">
        <v>13</v>
      </c>
      <c r="E154" s="3">
        <v>1</v>
      </c>
      <c r="F154" s="3" t="s">
        <v>14</v>
      </c>
      <c r="G154" s="8">
        <v>3</v>
      </c>
      <c r="H154" s="3">
        <v>5.8000000000000003E-2</v>
      </c>
      <c r="I154" s="8">
        <f t="shared" si="6"/>
        <v>-8.1270536692223436E-2</v>
      </c>
      <c r="J154" s="3">
        <f t="shared" si="7"/>
        <v>-8.1270536692223436E-2</v>
      </c>
      <c r="K154" s="4">
        <f t="shared" si="8"/>
        <v>0</v>
      </c>
    </row>
    <row r="155" spans="1:11">
      <c r="A155" s="2" t="s">
        <v>325</v>
      </c>
      <c r="B155" s="3" t="s">
        <v>326</v>
      </c>
      <c r="C155" s="8">
        <v>73</v>
      </c>
      <c r="D155" s="8" t="s">
        <v>21</v>
      </c>
      <c r="E155" s="3">
        <v>1</v>
      </c>
      <c r="F155" s="3" t="s">
        <v>22</v>
      </c>
      <c r="G155" s="8">
        <v>1</v>
      </c>
      <c r="H155" s="3">
        <v>0.12</v>
      </c>
      <c r="I155" s="8">
        <f t="shared" si="6"/>
        <v>5.4545454545454522E-2</v>
      </c>
      <c r="J155" s="3">
        <f t="shared" si="7"/>
        <v>5.4545454545454522E-2</v>
      </c>
      <c r="K155" s="4">
        <f t="shared" si="8"/>
        <v>5.4545454545454522E-2</v>
      </c>
    </row>
    <row r="156" spans="1:11">
      <c r="A156" s="2" t="s">
        <v>327</v>
      </c>
      <c r="B156" s="3" t="s">
        <v>328</v>
      </c>
      <c r="C156" s="8">
        <v>73</v>
      </c>
      <c r="D156" s="8" t="s">
        <v>21</v>
      </c>
      <c r="E156" s="3">
        <v>1</v>
      </c>
      <c r="F156" s="3" t="s">
        <v>22</v>
      </c>
      <c r="G156" s="8">
        <v>2</v>
      </c>
      <c r="H156" s="3">
        <v>0.17599999999999999</v>
      </c>
      <c r="I156" s="8">
        <f t="shared" si="6"/>
        <v>0.17721796276013141</v>
      </c>
      <c r="J156" s="3">
        <f t="shared" si="7"/>
        <v>0.17721796276013141</v>
      </c>
      <c r="K156" s="4">
        <f t="shared" si="8"/>
        <v>0.17721796276013141</v>
      </c>
    </row>
    <row r="157" spans="1:11">
      <c r="A157" s="2" t="s">
        <v>329</v>
      </c>
      <c r="B157" s="3" t="s">
        <v>330</v>
      </c>
      <c r="C157" s="8">
        <v>73</v>
      </c>
      <c r="D157" s="8" t="s">
        <v>21</v>
      </c>
      <c r="E157" s="3">
        <v>1</v>
      </c>
      <c r="F157" s="3" t="s">
        <v>22</v>
      </c>
      <c r="G157" s="8">
        <v>3</v>
      </c>
      <c r="H157" s="3">
        <v>0.183</v>
      </c>
      <c r="I157" s="8">
        <f t="shared" si="6"/>
        <v>0.19255202628696602</v>
      </c>
      <c r="J157" s="3">
        <f t="shared" si="7"/>
        <v>0.19255202628696602</v>
      </c>
      <c r="K157" s="4">
        <f t="shared" si="8"/>
        <v>0.19255202628696602</v>
      </c>
    </row>
    <row r="158" spans="1:11">
      <c r="A158" s="2" t="s">
        <v>331</v>
      </c>
      <c r="B158" s="3" t="s">
        <v>332</v>
      </c>
      <c r="C158" s="8">
        <v>73</v>
      </c>
      <c r="D158" s="8" t="s">
        <v>29</v>
      </c>
      <c r="E158" s="3">
        <v>1</v>
      </c>
      <c r="F158" s="3" t="s">
        <v>30</v>
      </c>
      <c r="G158" s="8">
        <v>1</v>
      </c>
      <c r="H158" s="3">
        <v>7.1999999999999995E-2</v>
      </c>
      <c r="I158" s="8">
        <f t="shared" si="6"/>
        <v>-5.0602409638554238E-2</v>
      </c>
      <c r="J158" s="3">
        <f t="shared" si="7"/>
        <v>-5.0602409638554238E-2</v>
      </c>
      <c r="K158" s="4">
        <f t="shared" si="8"/>
        <v>0</v>
      </c>
    </row>
    <row r="159" spans="1:11">
      <c r="A159" s="2" t="s">
        <v>333</v>
      </c>
      <c r="B159" s="3" t="s">
        <v>334</v>
      </c>
      <c r="C159" s="8">
        <v>73</v>
      </c>
      <c r="D159" s="8" t="s">
        <v>29</v>
      </c>
      <c r="E159" s="3">
        <v>1</v>
      </c>
      <c r="F159" s="3" t="s">
        <v>30</v>
      </c>
      <c r="G159" s="8">
        <v>2</v>
      </c>
      <c r="H159" s="3">
        <v>7.8E-2</v>
      </c>
      <c r="I159" s="8">
        <f t="shared" si="6"/>
        <v>-3.7458926615553126E-2</v>
      </c>
      <c r="J159" s="3">
        <f t="shared" si="7"/>
        <v>-3.7458926615553126E-2</v>
      </c>
      <c r="K159" s="4">
        <f t="shared" si="8"/>
        <v>0</v>
      </c>
    </row>
    <row r="160" spans="1:11">
      <c r="A160" s="2" t="s">
        <v>335</v>
      </c>
      <c r="B160" s="3" t="s">
        <v>336</v>
      </c>
      <c r="C160" s="8">
        <v>73</v>
      </c>
      <c r="D160" s="8" t="s">
        <v>29</v>
      </c>
      <c r="E160" s="3">
        <v>1</v>
      </c>
      <c r="F160" s="3" t="s">
        <v>30</v>
      </c>
      <c r="G160" s="8">
        <v>3</v>
      </c>
      <c r="H160" s="3">
        <v>0.113</v>
      </c>
      <c r="I160" s="8">
        <f t="shared" si="6"/>
        <v>3.921139101861993E-2</v>
      </c>
      <c r="J160" s="3">
        <f t="shared" si="7"/>
        <v>3.921139101861993E-2</v>
      </c>
      <c r="K160" s="4">
        <f t="shared" si="8"/>
        <v>3.921139101861993E-2</v>
      </c>
    </row>
    <row r="161" spans="1:11">
      <c r="A161" s="2" t="s">
        <v>337</v>
      </c>
      <c r="B161" s="3" t="s">
        <v>338</v>
      </c>
      <c r="C161" s="8">
        <v>73</v>
      </c>
      <c r="D161" s="8" t="s">
        <v>37</v>
      </c>
      <c r="E161" s="3">
        <v>1</v>
      </c>
      <c r="F161" s="3" t="s">
        <v>38</v>
      </c>
      <c r="G161" s="8">
        <v>1</v>
      </c>
      <c r="H161" s="3">
        <v>0.30599999999999999</v>
      </c>
      <c r="I161" s="8">
        <f t="shared" si="6"/>
        <v>0.46199342825848844</v>
      </c>
      <c r="J161" s="3">
        <f t="shared" si="7"/>
        <v>0.46199342825848844</v>
      </c>
      <c r="K161" s="4">
        <f t="shared" si="8"/>
        <v>0.46199342825848844</v>
      </c>
    </row>
    <row r="162" spans="1:11">
      <c r="A162" s="2" t="s">
        <v>339</v>
      </c>
      <c r="B162" s="3" t="s">
        <v>340</v>
      </c>
      <c r="C162" s="8">
        <v>73</v>
      </c>
      <c r="D162" s="8" t="s">
        <v>37</v>
      </c>
      <c r="E162" s="3">
        <v>1</v>
      </c>
      <c r="F162" s="3" t="s">
        <v>38</v>
      </c>
      <c r="G162" s="8">
        <v>2</v>
      </c>
      <c r="H162" s="3">
        <v>0.28299999999999997</v>
      </c>
      <c r="I162" s="8">
        <f t="shared" si="6"/>
        <v>0.41161007667031752</v>
      </c>
      <c r="J162" s="3">
        <f t="shared" si="7"/>
        <v>0.41161007667031752</v>
      </c>
      <c r="K162" s="4">
        <f t="shared" si="8"/>
        <v>0.41161007667031752</v>
      </c>
    </row>
    <row r="163" spans="1:11">
      <c r="A163" s="2" t="s">
        <v>341</v>
      </c>
      <c r="B163" s="3" t="s">
        <v>342</v>
      </c>
      <c r="C163" s="8">
        <v>73</v>
      </c>
      <c r="D163" s="8" t="s">
        <v>37</v>
      </c>
      <c r="E163" s="3">
        <v>1</v>
      </c>
      <c r="F163" s="3" t="s">
        <v>38</v>
      </c>
      <c r="G163" s="8">
        <v>3</v>
      </c>
      <c r="H163" s="3">
        <v>0.27200000000000002</v>
      </c>
      <c r="I163" s="8">
        <f t="shared" si="6"/>
        <v>0.38751369112814893</v>
      </c>
      <c r="J163" s="3">
        <f t="shared" si="7"/>
        <v>0.38751369112814893</v>
      </c>
      <c r="K163" s="4">
        <f t="shared" si="8"/>
        <v>0.38751369112814893</v>
      </c>
    </row>
    <row r="164" spans="1:11">
      <c r="A164" s="2" t="s">
        <v>343</v>
      </c>
      <c r="B164" s="3" t="s">
        <v>344</v>
      </c>
      <c r="C164" s="8">
        <v>73</v>
      </c>
      <c r="D164" s="8" t="s">
        <v>45</v>
      </c>
      <c r="E164" s="3">
        <v>1</v>
      </c>
      <c r="F164" s="3" t="s">
        <v>46</v>
      </c>
      <c r="G164" s="8">
        <v>1</v>
      </c>
      <c r="H164" s="3">
        <v>1.21E-2</v>
      </c>
      <c r="I164" s="8">
        <f t="shared" si="6"/>
        <v>-0.18181818181818182</v>
      </c>
      <c r="J164" s="3">
        <f t="shared" si="7"/>
        <v>-0.18181818181818182</v>
      </c>
      <c r="K164" s="4">
        <f t="shared" si="8"/>
        <v>0</v>
      </c>
    </row>
    <row r="165" spans="1:11">
      <c r="A165" s="2" t="s">
        <v>345</v>
      </c>
      <c r="B165" s="3" t="s">
        <v>346</v>
      </c>
      <c r="C165" s="8">
        <v>73</v>
      </c>
      <c r="D165" s="8" t="s">
        <v>45</v>
      </c>
      <c r="E165" s="3">
        <v>1</v>
      </c>
      <c r="F165" s="3" t="s">
        <v>46</v>
      </c>
      <c r="G165" s="8">
        <v>2</v>
      </c>
      <c r="H165" s="3">
        <v>0.11700000000000001</v>
      </c>
      <c r="I165" s="8">
        <f t="shared" si="6"/>
        <v>4.7973713033954E-2</v>
      </c>
      <c r="J165" s="3">
        <f t="shared" si="7"/>
        <v>4.7973713033954E-2</v>
      </c>
      <c r="K165" s="4">
        <f t="shared" si="8"/>
        <v>4.7973713033954E-2</v>
      </c>
    </row>
    <row r="166" spans="1:11">
      <c r="A166" s="2" t="s">
        <v>347</v>
      </c>
      <c r="B166" s="3" t="s">
        <v>348</v>
      </c>
      <c r="C166" s="8">
        <v>73</v>
      </c>
      <c r="D166" s="8" t="s">
        <v>45</v>
      </c>
      <c r="E166" s="3">
        <v>1</v>
      </c>
      <c r="F166" s="3" t="s">
        <v>46</v>
      </c>
      <c r="G166" s="8">
        <v>3</v>
      </c>
      <c r="H166" s="3">
        <v>0.114</v>
      </c>
      <c r="I166" s="8">
        <f t="shared" si="6"/>
        <v>4.1401971522453451E-2</v>
      </c>
      <c r="J166" s="3">
        <f t="shared" si="7"/>
        <v>4.1401971522453451E-2</v>
      </c>
      <c r="K166" s="4">
        <f t="shared" si="8"/>
        <v>4.1401971522453451E-2</v>
      </c>
    </row>
    <row r="167" spans="1:11">
      <c r="A167" s="2" t="s">
        <v>349</v>
      </c>
      <c r="B167" s="3" t="s">
        <v>350</v>
      </c>
      <c r="C167" s="8">
        <v>78</v>
      </c>
      <c r="D167" s="8" t="s">
        <v>13</v>
      </c>
      <c r="E167" s="3">
        <v>1</v>
      </c>
      <c r="F167" s="3" t="s">
        <v>14</v>
      </c>
      <c r="G167" s="8">
        <v>1</v>
      </c>
      <c r="H167" s="3">
        <v>5.1999999999999998E-2</v>
      </c>
      <c r="I167" s="8">
        <f t="shared" si="6"/>
        <v>-9.4414019715224548E-2</v>
      </c>
      <c r="J167" s="3">
        <f t="shared" si="7"/>
        <v>-9.4414019715224548E-2</v>
      </c>
      <c r="K167" s="4">
        <f t="shared" si="8"/>
        <v>0</v>
      </c>
    </row>
    <row r="168" spans="1:11">
      <c r="A168" s="2" t="s">
        <v>351</v>
      </c>
      <c r="B168" s="3" t="s">
        <v>352</v>
      </c>
      <c r="C168" s="8">
        <v>78</v>
      </c>
      <c r="D168" s="8" t="s">
        <v>13</v>
      </c>
      <c r="E168" s="3">
        <v>1</v>
      </c>
      <c r="F168" s="3" t="s">
        <v>14</v>
      </c>
      <c r="G168" s="8">
        <v>2</v>
      </c>
      <c r="H168" s="3">
        <v>5.1999999999999998E-2</v>
      </c>
      <c r="I168" s="8">
        <f t="shared" si="6"/>
        <v>-9.4414019715224548E-2</v>
      </c>
      <c r="J168" s="3">
        <f t="shared" si="7"/>
        <v>-9.4414019715224548E-2</v>
      </c>
      <c r="K168" s="4">
        <f t="shared" si="8"/>
        <v>0</v>
      </c>
    </row>
    <row r="169" spans="1:11">
      <c r="A169" s="2" t="s">
        <v>353</v>
      </c>
      <c r="B169" s="3" t="s">
        <v>354</v>
      </c>
      <c r="C169" s="8">
        <v>78</v>
      </c>
      <c r="D169" s="8" t="s">
        <v>13</v>
      </c>
      <c r="E169" s="3">
        <v>1</v>
      </c>
      <c r="F169" s="3" t="s">
        <v>14</v>
      </c>
      <c r="G169" s="8">
        <v>3</v>
      </c>
      <c r="H169" s="3">
        <v>5.3999999999999999E-2</v>
      </c>
      <c r="I169" s="8">
        <f t="shared" si="6"/>
        <v>-9.0032858707557506E-2</v>
      </c>
      <c r="J169" s="3">
        <f t="shared" si="7"/>
        <v>-9.0032858707557506E-2</v>
      </c>
      <c r="K169" s="4">
        <f t="shared" si="8"/>
        <v>0</v>
      </c>
    </row>
    <row r="170" spans="1:11">
      <c r="A170" s="2" t="s">
        <v>355</v>
      </c>
      <c r="B170" s="3" t="s">
        <v>356</v>
      </c>
      <c r="C170" s="8">
        <v>78</v>
      </c>
      <c r="D170" s="8" t="s">
        <v>21</v>
      </c>
      <c r="E170" s="3">
        <v>1</v>
      </c>
      <c r="F170" s="3" t="s">
        <v>22</v>
      </c>
      <c r="G170" s="8">
        <v>1</v>
      </c>
      <c r="H170" s="3">
        <v>0.184</v>
      </c>
      <c r="I170" s="8">
        <f t="shared" si="6"/>
        <v>0.19474260679079955</v>
      </c>
      <c r="J170" s="3">
        <f t="shared" si="7"/>
        <v>0.19474260679079955</v>
      </c>
      <c r="K170" s="4">
        <f t="shared" si="8"/>
        <v>0.19474260679079955</v>
      </c>
    </row>
    <row r="171" spans="1:11">
      <c r="A171" s="2" t="s">
        <v>357</v>
      </c>
      <c r="B171" s="3" t="s">
        <v>358</v>
      </c>
      <c r="C171" s="8">
        <v>78</v>
      </c>
      <c r="D171" s="8" t="s">
        <v>21</v>
      </c>
      <c r="E171" s="3">
        <v>1</v>
      </c>
      <c r="F171" s="3" t="s">
        <v>22</v>
      </c>
      <c r="G171" s="8">
        <v>2</v>
      </c>
      <c r="H171" s="3">
        <v>0.14899999999999999</v>
      </c>
      <c r="I171" s="8">
        <f t="shared" si="6"/>
        <v>0.11807228915662647</v>
      </c>
      <c r="J171" s="3">
        <f t="shared" si="7"/>
        <v>0.11807228915662647</v>
      </c>
      <c r="K171" s="4">
        <f t="shared" si="8"/>
        <v>0.11807228915662647</v>
      </c>
    </row>
    <row r="172" spans="1:11">
      <c r="A172" s="2" t="s">
        <v>359</v>
      </c>
      <c r="B172" s="3" t="s">
        <v>360</v>
      </c>
      <c r="C172" s="8">
        <v>78</v>
      </c>
      <c r="D172" s="8" t="s">
        <v>21</v>
      </c>
      <c r="E172" s="3">
        <v>1</v>
      </c>
      <c r="F172" s="3" t="s">
        <v>22</v>
      </c>
      <c r="G172" s="8">
        <v>3</v>
      </c>
      <c r="H172" s="3">
        <v>0.157</v>
      </c>
      <c r="I172" s="8">
        <f t="shared" si="6"/>
        <v>0.13559693318729463</v>
      </c>
      <c r="J172" s="3">
        <f t="shared" si="7"/>
        <v>0.13559693318729463</v>
      </c>
      <c r="K172" s="4">
        <f t="shared" si="8"/>
        <v>0.13559693318729463</v>
      </c>
    </row>
    <row r="173" spans="1:11">
      <c r="A173" s="2" t="s">
        <v>361</v>
      </c>
      <c r="B173" s="3" t="s">
        <v>362</v>
      </c>
      <c r="C173" s="8">
        <v>78</v>
      </c>
      <c r="D173" s="8" t="s">
        <v>29</v>
      </c>
      <c r="E173" s="3">
        <v>1</v>
      </c>
      <c r="F173" s="3" t="s">
        <v>30</v>
      </c>
      <c r="G173" s="8">
        <v>1</v>
      </c>
      <c r="H173" s="3">
        <v>7.5999999999999998E-2</v>
      </c>
      <c r="I173" s="8">
        <f t="shared" si="6"/>
        <v>-4.1840087623220168E-2</v>
      </c>
      <c r="J173" s="3">
        <f t="shared" si="7"/>
        <v>-4.1840087623220168E-2</v>
      </c>
      <c r="K173" s="4">
        <f t="shared" si="8"/>
        <v>0</v>
      </c>
    </row>
    <row r="174" spans="1:11">
      <c r="A174" s="2" t="s">
        <v>363</v>
      </c>
      <c r="B174" s="3" t="s">
        <v>364</v>
      </c>
      <c r="C174" s="8">
        <v>78</v>
      </c>
      <c r="D174" s="8" t="s">
        <v>29</v>
      </c>
      <c r="E174" s="3">
        <v>1</v>
      </c>
      <c r="F174" s="3" t="s">
        <v>30</v>
      </c>
      <c r="G174" s="8">
        <v>2</v>
      </c>
      <c r="H174" s="3">
        <v>8.3000000000000004E-2</v>
      </c>
      <c r="I174" s="8">
        <f t="shared" si="6"/>
        <v>-2.6506024096385541E-2</v>
      </c>
      <c r="J174" s="3">
        <f t="shared" si="7"/>
        <v>-2.6506024096385541E-2</v>
      </c>
      <c r="K174" s="4">
        <f t="shared" si="8"/>
        <v>0</v>
      </c>
    </row>
    <row r="175" spans="1:11">
      <c r="A175" s="2" t="s">
        <v>365</v>
      </c>
      <c r="B175" s="3" t="s">
        <v>366</v>
      </c>
      <c r="C175" s="8">
        <v>78</v>
      </c>
      <c r="D175" s="8" t="s">
        <v>29</v>
      </c>
      <c r="E175" s="3">
        <v>1</v>
      </c>
      <c r="F175" s="3" t="s">
        <v>30</v>
      </c>
      <c r="G175" s="8">
        <v>3</v>
      </c>
      <c r="H175" s="3">
        <v>7.5999999999999998E-2</v>
      </c>
      <c r="I175" s="8">
        <f t="shared" si="6"/>
        <v>-4.1840087623220168E-2</v>
      </c>
      <c r="J175" s="3">
        <f t="shared" si="7"/>
        <v>-4.1840087623220168E-2</v>
      </c>
      <c r="K175" s="4">
        <f t="shared" si="8"/>
        <v>0</v>
      </c>
    </row>
    <row r="176" spans="1:11">
      <c r="A176" s="2" t="s">
        <v>367</v>
      </c>
      <c r="B176" s="3" t="s">
        <v>368</v>
      </c>
      <c r="C176" s="8">
        <v>78</v>
      </c>
      <c r="D176" s="8" t="s">
        <v>37</v>
      </c>
      <c r="E176" s="3">
        <v>1</v>
      </c>
      <c r="F176" s="3" t="s">
        <v>38</v>
      </c>
      <c r="G176" s="8">
        <v>1</v>
      </c>
      <c r="H176" s="3">
        <v>0.40899999999999997</v>
      </c>
      <c r="I176" s="8">
        <f t="shared" si="6"/>
        <v>0.68762322015334054</v>
      </c>
      <c r="J176" s="3">
        <f t="shared" si="7"/>
        <v>0.68762322015334054</v>
      </c>
      <c r="K176" s="4">
        <f t="shared" si="8"/>
        <v>0.68762322015334054</v>
      </c>
    </row>
    <row r="177" spans="1:20">
      <c r="A177" s="2" t="s">
        <v>369</v>
      </c>
      <c r="B177" s="3" t="s">
        <v>370</v>
      </c>
      <c r="C177" s="8">
        <v>78</v>
      </c>
      <c r="D177" s="8" t="s">
        <v>37</v>
      </c>
      <c r="E177" s="3">
        <v>1</v>
      </c>
      <c r="F177" s="3" t="s">
        <v>38</v>
      </c>
      <c r="G177" s="8">
        <v>2</v>
      </c>
      <c r="H177" s="3">
        <v>0.35699999999999998</v>
      </c>
      <c r="I177" s="8">
        <f t="shared" si="6"/>
        <v>0.57371303395399775</v>
      </c>
      <c r="J177" s="3">
        <f t="shared" si="7"/>
        <v>0.57371303395399775</v>
      </c>
      <c r="K177" s="4">
        <f t="shared" si="8"/>
        <v>0.57371303395399775</v>
      </c>
    </row>
    <row r="178" spans="1:20">
      <c r="A178" s="2" t="s">
        <v>371</v>
      </c>
      <c r="B178" s="3" t="s">
        <v>372</v>
      </c>
      <c r="C178" s="8">
        <v>78</v>
      </c>
      <c r="D178" s="8" t="s">
        <v>37</v>
      </c>
      <c r="E178" s="3">
        <v>1</v>
      </c>
      <c r="F178" s="3" t="s">
        <v>38</v>
      </c>
      <c r="G178" s="8">
        <v>3</v>
      </c>
      <c r="H178" s="3">
        <v>0.307</v>
      </c>
      <c r="I178" s="8">
        <f t="shared" si="6"/>
        <v>0.46418400876232196</v>
      </c>
      <c r="J178" s="3">
        <f t="shared" si="7"/>
        <v>0.46418400876232196</v>
      </c>
      <c r="K178" s="4">
        <f t="shared" si="8"/>
        <v>0.46418400876232196</v>
      </c>
    </row>
    <row r="179" spans="1:20">
      <c r="A179" s="2" t="s">
        <v>373</v>
      </c>
      <c r="B179" s="3" t="s">
        <v>374</v>
      </c>
      <c r="C179" s="8">
        <v>78</v>
      </c>
      <c r="D179" s="8" t="s">
        <v>45</v>
      </c>
      <c r="E179" s="3">
        <v>1</v>
      </c>
      <c r="F179" s="3" t="s">
        <v>46</v>
      </c>
      <c r="G179" s="8">
        <v>1</v>
      </c>
      <c r="H179" s="3">
        <v>0.13500000000000001</v>
      </c>
      <c r="I179" s="8">
        <f t="shared" si="6"/>
        <v>8.7404162102957289E-2</v>
      </c>
      <c r="J179" s="3">
        <f t="shared" si="7"/>
        <v>8.7404162102957289E-2</v>
      </c>
      <c r="K179" s="4">
        <f t="shared" si="8"/>
        <v>8.7404162102957289E-2</v>
      </c>
    </row>
    <row r="180" spans="1:20">
      <c r="A180" s="2" t="s">
        <v>375</v>
      </c>
      <c r="B180" s="3" t="s">
        <v>376</v>
      </c>
      <c r="C180" s="8">
        <v>78</v>
      </c>
      <c r="D180" s="8" t="s">
        <v>45</v>
      </c>
      <c r="E180" s="3">
        <v>1</v>
      </c>
      <c r="F180" s="3" t="s">
        <v>46</v>
      </c>
      <c r="G180" s="8">
        <v>2</v>
      </c>
      <c r="H180" s="3">
        <v>0.12</v>
      </c>
      <c r="I180" s="8">
        <f t="shared" si="6"/>
        <v>5.4545454545454522E-2</v>
      </c>
      <c r="J180" s="3">
        <f t="shared" si="7"/>
        <v>5.4545454545454522E-2</v>
      </c>
      <c r="K180" s="4">
        <f t="shared" si="8"/>
        <v>5.4545454545454522E-2</v>
      </c>
    </row>
    <row r="181" spans="1:20">
      <c r="A181" s="2" t="s">
        <v>377</v>
      </c>
      <c r="B181" s="3" t="s">
        <v>378</v>
      </c>
      <c r="C181" s="8">
        <v>78</v>
      </c>
      <c r="D181" s="8" t="s">
        <v>45</v>
      </c>
      <c r="E181" s="3">
        <v>1</v>
      </c>
      <c r="F181" s="3" t="s">
        <v>46</v>
      </c>
      <c r="G181" s="8">
        <v>3</v>
      </c>
      <c r="H181" s="3">
        <v>0.12</v>
      </c>
      <c r="I181" s="8">
        <f t="shared" si="6"/>
        <v>5.4545454545454522E-2</v>
      </c>
      <c r="J181" s="3">
        <f t="shared" si="7"/>
        <v>5.4545454545454522E-2</v>
      </c>
      <c r="K181" s="4">
        <f t="shared" si="8"/>
        <v>5.4545454545454522E-2</v>
      </c>
    </row>
    <row r="182" spans="1:20">
      <c r="A182" s="2" t="s">
        <v>379</v>
      </c>
      <c r="B182" s="3" t="s">
        <v>380</v>
      </c>
      <c r="C182" s="8">
        <v>88</v>
      </c>
      <c r="D182" s="8" t="s">
        <v>13</v>
      </c>
      <c r="E182" s="3">
        <v>1</v>
      </c>
      <c r="F182" s="3" t="s">
        <v>14</v>
      </c>
      <c r="G182" s="8">
        <v>1</v>
      </c>
      <c r="H182" s="3">
        <v>5.1999999999999998E-2</v>
      </c>
      <c r="I182" s="8">
        <f t="shared" ref="I182:I201" si="9">(H182-0.0951)/0.4565</f>
        <v>-9.4414019715224548E-2</v>
      </c>
      <c r="J182" s="3">
        <f t="shared" si="7"/>
        <v>-9.4414019715224548E-2</v>
      </c>
      <c r="K182" s="4">
        <f t="shared" si="8"/>
        <v>0</v>
      </c>
    </row>
    <row r="183" spans="1:20">
      <c r="A183" s="2" t="s">
        <v>381</v>
      </c>
      <c r="B183" s="3" t="s">
        <v>382</v>
      </c>
      <c r="C183" s="8">
        <v>88</v>
      </c>
      <c r="D183" s="8" t="s">
        <v>13</v>
      </c>
      <c r="E183" s="3">
        <v>1</v>
      </c>
      <c r="F183" s="3" t="s">
        <v>14</v>
      </c>
      <c r="G183" s="8">
        <v>2</v>
      </c>
      <c r="H183" s="3">
        <v>0.05</v>
      </c>
      <c r="I183" s="8">
        <f t="shared" si="9"/>
        <v>-9.8795180722891562E-2</v>
      </c>
      <c r="J183" s="3">
        <f t="shared" si="7"/>
        <v>-9.8795180722891562E-2</v>
      </c>
      <c r="K183" s="4">
        <f t="shared" si="8"/>
        <v>0</v>
      </c>
    </row>
    <row r="184" spans="1:20">
      <c r="A184" s="2" t="s">
        <v>383</v>
      </c>
      <c r="B184" s="3" t="s">
        <v>384</v>
      </c>
      <c r="C184" s="8">
        <v>88</v>
      </c>
      <c r="D184" s="8" t="s">
        <v>13</v>
      </c>
      <c r="E184" s="3">
        <v>1</v>
      </c>
      <c r="F184" s="3" t="s">
        <v>14</v>
      </c>
      <c r="G184" s="8">
        <v>3</v>
      </c>
      <c r="H184" s="3">
        <v>5.0999999999999997E-2</v>
      </c>
      <c r="I184" s="8">
        <f t="shared" si="9"/>
        <v>-9.6604600219058062E-2</v>
      </c>
      <c r="J184" s="3">
        <f t="shared" si="7"/>
        <v>-9.6604600219058062E-2</v>
      </c>
      <c r="K184" s="4">
        <f t="shared" si="8"/>
        <v>0</v>
      </c>
      <c r="L184" s="5"/>
      <c r="M184" s="5"/>
      <c r="N184" s="5"/>
      <c r="O184" s="5"/>
      <c r="P184" s="5"/>
      <c r="Q184" s="5"/>
      <c r="R184" s="5"/>
      <c r="S184" s="5"/>
      <c r="T184" s="5"/>
    </row>
    <row r="185" spans="1:20">
      <c r="A185" s="2" t="s">
        <v>385</v>
      </c>
      <c r="B185" s="3" t="s">
        <v>386</v>
      </c>
      <c r="C185" s="8">
        <v>88</v>
      </c>
      <c r="D185" s="8" t="s">
        <v>21</v>
      </c>
      <c r="E185" s="3">
        <v>1</v>
      </c>
      <c r="F185" s="3" t="s">
        <v>22</v>
      </c>
      <c r="G185" s="8">
        <v>1</v>
      </c>
      <c r="H185" s="3">
        <v>9.9000000000000005E-2</v>
      </c>
      <c r="I185" s="8">
        <f t="shared" si="9"/>
        <v>8.5432639649507137E-3</v>
      </c>
      <c r="J185" s="3">
        <f t="shared" si="7"/>
        <v>8.5432639649507137E-3</v>
      </c>
      <c r="K185" s="4">
        <f t="shared" si="8"/>
        <v>8.5432639649507137E-3</v>
      </c>
      <c r="L185" s="4"/>
      <c r="M185" s="4"/>
      <c r="N185" s="4"/>
      <c r="O185" s="4"/>
      <c r="P185" s="4"/>
      <c r="Q185" s="4"/>
      <c r="R185" s="4"/>
      <c r="S185" s="4"/>
      <c r="T185" s="4"/>
    </row>
    <row r="186" spans="1:20">
      <c r="A186" s="2" t="s">
        <v>387</v>
      </c>
      <c r="B186" s="3" t="s">
        <v>388</v>
      </c>
      <c r="C186" s="8">
        <v>88</v>
      </c>
      <c r="D186" s="8" t="s">
        <v>21</v>
      </c>
      <c r="E186" s="3">
        <v>1</v>
      </c>
      <c r="F186" s="3" t="s">
        <v>22</v>
      </c>
      <c r="G186" s="8">
        <v>2</v>
      </c>
      <c r="H186" s="3">
        <v>0.10199999999999999</v>
      </c>
      <c r="I186" s="8">
        <f t="shared" si="9"/>
        <v>1.5115005476451235E-2</v>
      </c>
      <c r="J186" s="3">
        <f t="shared" si="7"/>
        <v>1.5115005476451235E-2</v>
      </c>
      <c r="K186" s="4">
        <f t="shared" si="8"/>
        <v>1.5115005476451235E-2</v>
      </c>
      <c r="L186" s="4"/>
      <c r="M186" s="4"/>
      <c r="N186" s="4"/>
      <c r="O186" s="4"/>
      <c r="P186" s="4"/>
      <c r="Q186" s="4"/>
      <c r="R186" s="4"/>
      <c r="S186" s="4"/>
      <c r="T186" s="4"/>
    </row>
    <row r="187" spans="1:20">
      <c r="A187" s="2" t="s">
        <v>389</v>
      </c>
      <c r="B187" s="3" t="s">
        <v>390</v>
      </c>
      <c r="C187" s="8">
        <v>88</v>
      </c>
      <c r="D187" s="8" t="s">
        <v>21</v>
      </c>
      <c r="E187" s="3">
        <v>1</v>
      </c>
      <c r="F187" s="3" t="s">
        <v>22</v>
      </c>
      <c r="G187" s="8">
        <v>3</v>
      </c>
      <c r="H187" s="3">
        <v>0.107</v>
      </c>
      <c r="I187" s="8">
        <f t="shared" si="9"/>
        <v>2.6067907995618825E-2</v>
      </c>
      <c r="J187" s="3">
        <f t="shared" si="7"/>
        <v>2.6067907995618825E-2</v>
      </c>
      <c r="K187" s="4">
        <f t="shared" si="8"/>
        <v>2.6067907995618825E-2</v>
      </c>
      <c r="L187" s="4"/>
      <c r="M187" s="4"/>
      <c r="N187" s="4"/>
      <c r="O187" s="4"/>
      <c r="P187" s="4"/>
      <c r="Q187" s="4"/>
      <c r="R187" s="4"/>
      <c r="S187" s="4"/>
      <c r="T187" s="4"/>
    </row>
    <row r="188" spans="1:20">
      <c r="A188" s="2" t="s">
        <v>391</v>
      </c>
      <c r="B188" s="3" t="s">
        <v>392</v>
      </c>
      <c r="C188" s="8">
        <v>88</v>
      </c>
      <c r="D188" s="8" t="s">
        <v>29</v>
      </c>
      <c r="E188" s="3">
        <v>1</v>
      </c>
      <c r="F188" s="3" t="s">
        <v>30</v>
      </c>
      <c r="G188" s="8">
        <v>1</v>
      </c>
      <c r="H188" s="3">
        <v>6.0999999999999999E-2</v>
      </c>
      <c r="I188" s="8">
        <f t="shared" si="9"/>
        <v>-7.4698795180722907E-2</v>
      </c>
      <c r="J188" s="3">
        <f t="shared" si="7"/>
        <v>-7.4698795180722907E-2</v>
      </c>
      <c r="K188" s="4">
        <f t="shared" si="8"/>
        <v>0</v>
      </c>
      <c r="L188" s="4"/>
      <c r="M188" s="4"/>
      <c r="N188" s="4"/>
      <c r="O188" s="4"/>
      <c r="P188" s="4"/>
      <c r="Q188" s="4"/>
      <c r="R188" s="4"/>
      <c r="S188" s="4"/>
      <c r="T188" s="4"/>
    </row>
    <row r="189" spans="1:20">
      <c r="A189" s="2" t="s">
        <v>393</v>
      </c>
      <c r="B189" s="3" t="s">
        <v>394</v>
      </c>
      <c r="C189" s="8">
        <v>88</v>
      </c>
      <c r="D189" s="8" t="s">
        <v>29</v>
      </c>
      <c r="E189" s="3">
        <v>1</v>
      </c>
      <c r="F189" s="3" t="s">
        <v>30</v>
      </c>
      <c r="G189" s="8">
        <v>2</v>
      </c>
      <c r="H189" s="3">
        <v>0.06</v>
      </c>
      <c r="I189" s="8">
        <f t="shared" si="9"/>
        <v>-7.6889375684556421E-2</v>
      </c>
      <c r="J189" s="3">
        <f t="shared" si="7"/>
        <v>-7.6889375684556421E-2</v>
      </c>
      <c r="K189" s="4">
        <f t="shared" si="8"/>
        <v>0</v>
      </c>
    </row>
    <row r="190" spans="1:20">
      <c r="A190" s="2" t="s">
        <v>395</v>
      </c>
      <c r="B190" s="3" t="s">
        <v>396</v>
      </c>
      <c r="C190" s="8">
        <v>88</v>
      </c>
      <c r="D190" s="8" t="s">
        <v>29</v>
      </c>
      <c r="E190" s="3">
        <v>1</v>
      </c>
      <c r="F190" s="3" t="s">
        <v>30</v>
      </c>
      <c r="G190" s="8">
        <v>3</v>
      </c>
      <c r="H190" s="3">
        <v>4.7E-2</v>
      </c>
      <c r="I190" s="8">
        <f t="shared" si="9"/>
        <v>-0.10536692223439212</v>
      </c>
      <c r="J190" s="3">
        <f t="shared" si="7"/>
        <v>-0.10536692223439212</v>
      </c>
      <c r="K190" s="4">
        <f t="shared" si="8"/>
        <v>0</v>
      </c>
    </row>
    <row r="191" spans="1:20">
      <c r="A191" s="2" t="s">
        <v>397</v>
      </c>
      <c r="B191" s="3" t="s">
        <v>398</v>
      </c>
      <c r="C191" s="8">
        <v>88</v>
      </c>
      <c r="D191" s="8" t="s">
        <v>37</v>
      </c>
      <c r="E191" s="3">
        <v>1</v>
      </c>
      <c r="F191" s="3" t="s">
        <v>38</v>
      </c>
      <c r="G191" s="8">
        <v>1</v>
      </c>
      <c r="H191" s="3">
        <v>0.31900000000000001</v>
      </c>
      <c r="I191" s="8">
        <f t="shared" si="9"/>
        <v>0.49047097480832413</v>
      </c>
      <c r="J191" s="3">
        <f t="shared" si="7"/>
        <v>0.49047097480832413</v>
      </c>
      <c r="K191" s="4">
        <f t="shared" si="8"/>
        <v>0.49047097480832413</v>
      </c>
    </row>
    <row r="192" spans="1:20">
      <c r="A192" s="2" t="s">
        <v>399</v>
      </c>
      <c r="B192" s="3" t="s">
        <v>400</v>
      </c>
      <c r="C192" s="8">
        <v>88</v>
      </c>
      <c r="D192" s="8" t="s">
        <v>37</v>
      </c>
      <c r="E192" s="3">
        <v>1</v>
      </c>
      <c r="F192" s="3" t="s">
        <v>38</v>
      </c>
      <c r="G192" s="8">
        <v>2</v>
      </c>
      <c r="H192" s="3">
        <v>0.36199999999999999</v>
      </c>
      <c r="I192" s="8">
        <f t="shared" si="9"/>
        <v>0.58466593647316534</v>
      </c>
      <c r="J192" s="3">
        <f t="shared" si="7"/>
        <v>0.58466593647316534</v>
      </c>
      <c r="K192" s="4">
        <f t="shared" si="8"/>
        <v>0.58466593647316534</v>
      </c>
    </row>
    <row r="193" spans="1:15">
      <c r="A193" s="2" t="s">
        <v>401</v>
      </c>
      <c r="B193" s="3" t="s">
        <v>402</v>
      </c>
      <c r="C193" s="8">
        <v>88</v>
      </c>
      <c r="D193" s="8" t="s">
        <v>37</v>
      </c>
      <c r="E193" s="3">
        <v>1</v>
      </c>
      <c r="F193" s="3" t="s">
        <v>38</v>
      </c>
      <c r="G193" s="8">
        <v>3</v>
      </c>
      <c r="H193" s="3">
        <v>0.29599999999999999</v>
      </c>
      <c r="I193" s="8">
        <f t="shared" si="9"/>
        <v>0.44008762322015327</v>
      </c>
      <c r="J193" s="3">
        <f t="shared" si="7"/>
        <v>0.44008762322015327</v>
      </c>
      <c r="K193" s="4">
        <f t="shared" si="8"/>
        <v>0.44008762322015327</v>
      </c>
    </row>
    <row r="194" spans="1:15">
      <c r="A194" s="2" t="s">
        <v>403</v>
      </c>
      <c r="B194" s="3" t="s">
        <v>404</v>
      </c>
      <c r="C194" s="8">
        <v>88</v>
      </c>
      <c r="D194" s="8" t="s">
        <v>45</v>
      </c>
      <c r="E194" s="3">
        <v>1</v>
      </c>
      <c r="F194" s="3" t="s">
        <v>46</v>
      </c>
      <c r="G194" s="8">
        <v>1</v>
      </c>
      <c r="H194" s="3">
        <v>9.7000000000000003E-2</v>
      </c>
      <c r="I194" s="8">
        <f t="shared" si="9"/>
        <v>4.1621029572836777E-3</v>
      </c>
      <c r="J194" s="3">
        <f t="shared" si="7"/>
        <v>4.1621029572836777E-3</v>
      </c>
      <c r="K194" s="4">
        <f t="shared" si="8"/>
        <v>4.1621029572836777E-3</v>
      </c>
      <c r="L194" s="4"/>
      <c r="M194" s="4"/>
      <c r="N194" s="4"/>
      <c r="O194" s="4"/>
    </row>
    <row r="195" spans="1:15">
      <c r="A195" s="2" t="s">
        <v>405</v>
      </c>
      <c r="B195" s="3" t="s">
        <v>406</v>
      </c>
      <c r="C195" s="8">
        <v>88</v>
      </c>
      <c r="D195" s="8" t="s">
        <v>45</v>
      </c>
      <c r="E195" s="3">
        <v>1</v>
      </c>
      <c r="F195" s="3" t="s">
        <v>46</v>
      </c>
      <c r="G195" s="8">
        <v>2</v>
      </c>
      <c r="H195" s="3">
        <v>9.4E-2</v>
      </c>
      <c r="I195" s="8">
        <f t="shared" si="9"/>
        <v>-2.4096385542168755E-3</v>
      </c>
      <c r="J195" s="3">
        <f t="shared" ref="J195:J200" si="10">I195*E195</f>
        <v>-2.4096385542168755E-3</v>
      </c>
      <c r="K195" s="4">
        <f t="shared" ref="K195:K201" si="11">IF(J195 &lt; 0, 0, J195)</f>
        <v>0</v>
      </c>
    </row>
    <row r="196" spans="1:15">
      <c r="A196" s="2" t="s">
        <v>407</v>
      </c>
      <c r="B196" s="3" t="s">
        <v>408</v>
      </c>
      <c r="C196" s="8">
        <v>88</v>
      </c>
      <c r="D196" s="8" t="s">
        <v>45</v>
      </c>
      <c r="E196" s="3">
        <v>1</v>
      </c>
      <c r="F196" s="3" t="s">
        <v>46</v>
      </c>
      <c r="G196" s="8">
        <v>3</v>
      </c>
      <c r="H196" s="3">
        <v>9.8000000000000004E-2</v>
      </c>
      <c r="I196" s="8">
        <f t="shared" si="9"/>
        <v>6.3526834611171952E-3</v>
      </c>
      <c r="J196" s="3">
        <f t="shared" si="10"/>
        <v>6.3526834611171952E-3</v>
      </c>
      <c r="K196" s="4">
        <f t="shared" si="11"/>
        <v>6.3526834611171952E-3</v>
      </c>
    </row>
    <row r="197" spans="1:15">
      <c r="A197" s="2" t="s">
        <v>416</v>
      </c>
      <c r="B197" s="3" t="s">
        <v>417</v>
      </c>
      <c r="C197" s="8" t="s">
        <v>418</v>
      </c>
      <c r="D197" s="8" t="s">
        <v>419</v>
      </c>
      <c r="E197" s="3">
        <v>1</v>
      </c>
      <c r="F197" s="3" t="s">
        <v>420</v>
      </c>
      <c r="G197" s="8">
        <v>1</v>
      </c>
      <c r="H197" s="3">
        <v>7.0999999999999994E-2</v>
      </c>
      <c r="I197" s="8">
        <f t="shared" si="9"/>
        <v>-5.2792990142387752E-2</v>
      </c>
      <c r="J197" s="3">
        <f>I197*E197</f>
        <v>-5.2792990142387752E-2</v>
      </c>
      <c r="K197" s="4">
        <f t="shared" si="11"/>
        <v>0</v>
      </c>
    </row>
    <row r="198" spans="1:15">
      <c r="A198" s="2" t="s">
        <v>421</v>
      </c>
      <c r="B198" s="3" t="s">
        <v>422</v>
      </c>
      <c r="C198" s="8" t="s">
        <v>418</v>
      </c>
      <c r="D198" s="8" t="s">
        <v>419</v>
      </c>
      <c r="E198" s="3">
        <v>1</v>
      </c>
      <c r="F198" s="3" t="s">
        <v>420</v>
      </c>
      <c r="G198" s="8">
        <v>2</v>
      </c>
      <c r="H198" s="3">
        <v>0.04</v>
      </c>
      <c r="I198" s="8">
        <f t="shared" si="9"/>
        <v>-0.12070098576122673</v>
      </c>
      <c r="J198" s="3">
        <f t="shared" si="10"/>
        <v>-0.12070098576122673</v>
      </c>
      <c r="K198" s="4">
        <f t="shared" si="11"/>
        <v>0</v>
      </c>
    </row>
    <row r="199" spans="1:15">
      <c r="A199" s="2" t="s">
        <v>423</v>
      </c>
      <c r="B199" s="3" t="s">
        <v>424</v>
      </c>
      <c r="C199" s="8" t="s">
        <v>418</v>
      </c>
      <c r="D199" s="8" t="s">
        <v>419</v>
      </c>
      <c r="E199" s="3">
        <v>1</v>
      </c>
      <c r="F199" s="3" t="s">
        <v>420</v>
      </c>
      <c r="G199" s="8">
        <v>3</v>
      </c>
      <c r="H199" s="3">
        <v>4.4999999999999998E-2</v>
      </c>
      <c r="I199" s="8">
        <f t="shared" si="9"/>
        <v>-0.10974808324205916</v>
      </c>
      <c r="J199" s="3">
        <f t="shared" si="10"/>
        <v>-0.10974808324205916</v>
      </c>
      <c r="K199" s="4">
        <f t="shared" si="11"/>
        <v>0</v>
      </c>
    </row>
    <row r="200" spans="1:15">
      <c r="A200" s="2" t="s">
        <v>409</v>
      </c>
      <c r="B200" s="3" t="s">
        <v>410</v>
      </c>
      <c r="C200" s="8">
        <v>37</v>
      </c>
      <c r="D200" s="8" t="s">
        <v>21</v>
      </c>
      <c r="E200" s="3">
        <v>1</v>
      </c>
      <c r="F200" s="3" t="s">
        <v>22</v>
      </c>
      <c r="G200" s="8">
        <v>1</v>
      </c>
      <c r="H200" s="3">
        <v>0.151</v>
      </c>
      <c r="I200" s="8">
        <f t="shared" si="9"/>
        <v>0.12245345016429351</v>
      </c>
      <c r="J200" s="3">
        <f t="shared" si="10"/>
        <v>0.12245345016429351</v>
      </c>
      <c r="K200" s="4">
        <f t="shared" si="11"/>
        <v>0.12245345016429351</v>
      </c>
    </row>
    <row r="201" spans="1:15">
      <c r="A201" s="2" t="s">
        <v>411</v>
      </c>
      <c r="B201" s="3" t="s">
        <v>412</v>
      </c>
      <c r="C201" s="8">
        <v>15</v>
      </c>
      <c r="D201" s="8" t="s">
        <v>413</v>
      </c>
      <c r="E201" s="8">
        <v>2</v>
      </c>
      <c r="F201" s="8" t="s">
        <v>38</v>
      </c>
      <c r="G201" s="8">
        <v>1</v>
      </c>
      <c r="H201" s="3">
        <v>0.52700000000000002</v>
      </c>
      <c r="I201" s="8">
        <f t="shared" si="9"/>
        <v>0.94611171960569551</v>
      </c>
      <c r="J201" s="8">
        <f>I201*E201</f>
        <v>1.892223439211391</v>
      </c>
      <c r="K201" s="4">
        <f t="shared" si="11"/>
        <v>1.892223439211391</v>
      </c>
    </row>
  </sheetData>
  <pageMargins left="0.7" right="0.7" top="0.75" bottom="0.75" header="0.3" footer="0.3"/>
  <pageSetup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0F2E6-FAAB-49F0-8950-D4927AE9C005}">
  <sheetPr>
    <pageSetUpPr fitToPage="1"/>
  </sheetPr>
  <dimension ref="A1:T232"/>
  <sheetViews>
    <sheetView workbookViewId="0">
      <selection activeCell="J3" sqref="J3"/>
    </sheetView>
  </sheetViews>
  <sheetFormatPr defaultColWidth="10.7109375" defaultRowHeight="15"/>
  <cols>
    <col min="1" max="1" width="15.140625" style="5" customWidth="1"/>
    <col min="2" max="2" width="21" customWidth="1"/>
    <col min="5" max="5" width="14.42578125" customWidth="1"/>
    <col min="6" max="6" width="13.140625" customWidth="1"/>
    <col min="8" max="8" width="17.85546875" customWidth="1"/>
    <col min="9" max="9" width="15.28515625" customWidth="1"/>
  </cols>
  <sheetData>
    <row r="1" spans="1:17" s="15" customFormat="1" ht="30">
      <c r="A1" s="12" t="s">
        <v>0</v>
      </c>
      <c r="B1" s="13" t="s">
        <v>1</v>
      </c>
      <c r="C1" s="12" t="s">
        <v>1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4"/>
      <c r="K1" s="14"/>
      <c r="L1" s="14"/>
      <c r="M1" s="14"/>
      <c r="N1" s="14"/>
      <c r="O1" s="14"/>
      <c r="P1" s="14"/>
      <c r="Q1" s="14"/>
    </row>
    <row r="2" spans="1:17">
      <c r="A2" s="2" t="s">
        <v>425</v>
      </c>
      <c r="B2" s="3" t="s">
        <v>426</v>
      </c>
      <c r="C2" s="8" t="s">
        <v>426</v>
      </c>
      <c r="D2" s="2"/>
      <c r="E2" s="3"/>
      <c r="F2" s="3"/>
      <c r="G2" s="3"/>
      <c r="H2" s="3">
        <v>3.5000000000000003E-2</v>
      </c>
      <c r="I2">
        <f>(H2-0.0951)/0.4565</f>
        <v>-0.13165388828039429</v>
      </c>
      <c r="J2" s="4"/>
      <c r="K2" s="4"/>
      <c r="L2" s="4"/>
      <c r="M2" s="4"/>
      <c r="N2" s="4"/>
      <c r="O2" s="4"/>
      <c r="P2" s="4"/>
      <c r="Q2" s="4"/>
    </row>
    <row r="3" spans="1:17">
      <c r="A3" s="2" t="s">
        <v>427</v>
      </c>
      <c r="B3" s="3" t="s">
        <v>428</v>
      </c>
      <c r="C3" s="8" t="s">
        <v>429</v>
      </c>
      <c r="D3" s="8">
        <v>1</v>
      </c>
      <c r="E3" s="3"/>
      <c r="F3" s="3"/>
      <c r="G3" s="3"/>
      <c r="H3" s="3">
        <v>3.9860000000000002</v>
      </c>
      <c r="I3">
        <f t="shared" ref="I3:I66" si="0">(H3-0.0951)/0.4565</f>
        <v>8.5233296823658264</v>
      </c>
      <c r="J3" s="4"/>
      <c r="K3" s="4"/>
      <c r="L3" s="4"/>
      <c r="M3" s="4"/>
      <c r="N3" s="4"/>
      <c r="O3" s="4"/>
      <c r="P3" s="4"/>
      <c r="Q3" s="4"/>
    </row>
    <row r="4" spans="1:17">
      <c r="A4" s="2" t="s">
        <v>430</v>
      </c>
      <c r="B4" s="3" t="s">
        <v>431</v>
      </c>
      <c r="C4" s="8" t="s">
        <v>429</v>
      </c>
      <c r="D4" s="8">
        <v>2</v>
      </c>
      <c r="E4" s="3"/>
      <c r="F4" s="3"/>
      <c r="G4" s="3"/>
      <c r="H4" s="3" t="s">
        <v>432</v>
      </c>
      <c r="I4" t="e">
        <f t="shared" si="0"/>
        <v>#VALUE!</v>
      </c>
      <c r="J4" s="4"/>
      <c r="K4" s="4"/>
      <c r="L4" s="4"/>
      <c r="M4" s="4"/>
      <c r="O4" s="4"/>
      <c r="P4" s="4"/>
      <c r="Q4" s="4"/>
    </row>
    <row r="5" spans="1:17">
      <c r="A5" s="2" t="s">
        <v>433</v>
      </c>
      <c r="B5" s="3" t="s">
        <v>434</v>
      </c>
      <c r="C5" s="8" t="s">
        <v>429</v>
      </c>
      <c r="D5" s="8">
        <v>3</v>
      </c>
      <c r="E5" s="3"/>
      <c r="F5" s="3"/>
      <c r="G5" s="3"/>
      <c r="H5" s="6">
        <v>3.8969999999999998</v>
      </c>
      <c r="I5">
        <f t="shared" si="0"/>
        <v>8.3283680175246442</v>
      </c>
      <c r="J5" s="4"/>
      <c r="K5" s="4"/>
      <c r="L5" s="4"/>
      <c r="M5" s="4"/>
      <c r="N5" s="4"/>
      <c r="O5" s="4"/>
      <c r="P5" s="4"/>
      <c r="Q5" s="4"/>
    </row>
    <row r="6" spans="1:17">
      <c r="A6" s="2" t="s">
        <v>435</v>
      </c>
      <c r="B6" s="3" t="s">
        <v>436</v>
      </c>
      <c r="C6" s="8" t="s">
        <v>429</v>
      </c>
      <c r="D6" s="8">
        <v>4</v>
      </c>
      <c r="E6" s="3"/>
      <c r="F6" s="3"/>
      <c r="G6" s="3"/>
      <c r="H6" s="3">
        <v>0.69899999999999995</v>
      </c>
      <c r="I6">
        <f t="shared" si="0"/>
        <v>1.3228915662650602</v>
      </c>
      <c r="J6" s="4"/>
      <c r="K6" s="4"/>
      <c r="L6" s="4"/>
      <c r="M6" s="4"/>
      <c r="N6" s="4"/>
      <c r="O6" s="4"/>
      <c r="P6" s="4"/>
      <c r="Q6" s="4"/>
    </row>
    <row r="7" spans="1:17">
      <c r="A7" s="2" t="s">
        <v>437</v>
      </c>
      <c r="B7" s="3" t="s">
        <v>438</v>
      </c>
      <c r="C7" s="8" t="s">
        <v>429</v>
      </c>
      <c r="D7" s="8">
        <v>5</v>
      </c>
      <c r="E7" s="3"/>
      <c r="F7" s="3"/>
      <c r="G7" s="3"/>
      <c r="H7" s="3">
        <v>7.3999999999999996E-2</v>
      </c>
      <c r="I7">
        <f t="shared" si="0"/>
        <v>-4.6221248630887203E-2</v>
      </c>
      <c r="J7" s="4"/>
      <c r="K7" s="4"/>
      <c r="L7" s="4"/>
      <c r="M7" s="4"/>
      <c r="N7" s="4"/>
      <c r="O7" s="4"/>
      <c r="P7" s="4"/>
      <c r="Q7" s="4"/>
    </row>
    <row r="8" spans="1:17">
      <c r="A8" s="2" t="s">
        <v>11</v>
      </c>
      <c r="B8" s="3" t="s">
        <v>12</v>
      </c>
      <c r="C8" s="8" t="s">
        <v>439</v>
      </c>
      <c r="D8" s="9" t="s">
        <v>13</v>
      </c>
      <c r="E8" s="3"/>
      <c r="F8" s="3" t="s">
        <v>14</v>
      </c>
      <c r="G8" s="10">
        <v>1</v>
      </c>
      <c r="H8" s="3">
        <v>5.5E-2</v>
      </c>
      <c r="I8">
        <f t="shared" si="0"/>
        <v>-8.7842278203723992E-2</v>
      </c>
      <c r="J8" s="4"/>
      <c r="K8" s="4"/>
      <c r="L8" s="4"/>
      <c r="M8" s="4"/>
      <c r="N8" s="4"/>
      <c r="O8" s="4"/>
      <c r="P8" s="4"/>
      <c r="Q8" s="4"/>
    </row>
    <row r="9" spans="1:17">
      <c r="A9" s="2" t="s">
        <v>15</v>
      </c>
      <c r="B9" s="3" t="s">
        <v>16</v>
      </c>
      <c r="C9" s="8" t="s">
        <v>439</v>
      </c>
      <c r="D9" s="9" t="s">
        <v>13</v>
      </c>
      <c r="E9" s="3"/>
      <c r="F9" s="3" t="s">
        <v>14</v>
      </c>
      <c r="G9" s="10">
        <v>2</v>
      </c>
      <c r="H9" s="3">
        <v>5.6000000000000001E-2</v>
      </c>
      <c r="I9">
        <f t="shared" si="0"/>
        <v>-8.5651697699890478E-2</v>
      </c>
      <c r="J9" s="4"/>
      <c r="K9" s="4"/>
      <c r="L9" s="4"/>
      <c r="M9" s="4"/>
      <c r="N9" s="4"/>
      <c r="O9" s="4"/>
      <c r="P9" s="4"/>
      <c r="Q9" s="4"/>
    </row>
    <row r="10" spans="1:17">
      <c r="A10" s="2" t="s">
        <v>17</v>
      </c>
      <c r="B10" s="3" t="s">
        <v>18</v>
      </c>
      <c r="C10" s="8" t="s">
        <v>439</v>
      </c>
      <c r="D10" s="8" t="s">
        <v>13</v>
      </c>
      <c r="E10" s="8"/>
      <c r="F10" s="3" t="s">
        <v>14</v>
      </c>
      <c r="G10" s="8">
        <v>3</v>
      </c>
      <c r="H10" s="3">
        <v>0.39200000000000002</v>
      </c>
      <c r="I10">
        <f t="shared" si="0"/>
        <v>0.65038335158817084</v>
      </c>
    </row>
    <row r="11" spans="1:17">
      <c r="A11" s="2" t="s">
        <v>19</v>
      </c>
      <c r="B11" s="3" t="s">
        <v>20</v>
      </c>
      <c r="C11" s="8" t="s">
        <v>439</v>
      </c>
      <c r="D11" s="8" t="s">
        <v>21</v>
      </c>
      <c r="E11" s="8"/>
      <c r="F11" s="3" t="s">
        <v>22</v>
      </c>
      <c r="G11" s="8">
        <v>1</v>
      </c>
      <c r="H11" s="3">
        <v>0.24199999999999999</v>
      </c>
      <c r="I11">
        <f t="shared" si="0"/>
        <v>0.32179627601314342</v>
      </c>
    </row>
    <row r="12" spans="1:17">
      <c r="A12" s="2" t="s">
        <v>23</v>
      </c>
      <c r="B12" s="3" t="s">
        <v>24</v>
      </c>
      <c r="C12" s="8" t="s">
        <v>439</v>
      </c>
      <c r="D12" s="8" t="s">
        <v>21</v>
      </c>
      <c r="E12" s="8"/>
      <c r="F12" s="3" t="s">
        <v>22</v>
      </c>
      <c r="G12" s="8">
        <v>2</v>
      </c>
      <c r="H12" s="3">
        <v>8.6999999999999994E-2</v>
      </c>
      <c r="I12">
        <f t="shared" si="0"/>
        <v>-1.7743702081051499E-2</v>
      </c>
    </row>
    <row r="13" spans="1:17">
      <c r="A13" s="2" t="s">
        <v>25</v>
      </c>
      <c r="B13" s="3" t="s">
        <v>26</v>
      </c>
      <c r="C13" s="8" t="s">
        <v>439</v>
      </c>
      <c r="D13" s="8" t="s">
        <v>21</v>
      </c>
      <c r="E13" s="8"/>
      <c r="F13" s="3" t="s">
        <v>22</v>
      </c>
      <c r="G13" s="8">
        <v>3</v>
      </c>
      <c r="H13" s="3">
        <v>0.106</v>
      </c>
      <c r="I13">
        <f t="shared" si="0"/>
        <v>2.3877327491785307E-2</v>
      </c>
    </row>
    <row r="14" spans="1:17">
      <c r="A14" s="2" t="s">
        <v>27</v>
      </c>
      <c r="B14" s="3" t="s">
        <v>28</v>
      </c>
      <c r="C14" s="8" t="s">
        <v>439</v>
      </c>
      <c r="D14" s="8" t="s">
        <v>29</v>
      </c>
      <c r="E14" s="8"/>
      <c r="F14" s="3" t="s">
        <v>30</v>
      </c>
      <c r="G14" s="8">
        <v>1</v>
      </c>
      <c r="H14" s="3">
        <v>5.3999999999999999E-2</v>
      </c>
      <c r="I14">
        <f t="shared" si="0"/>
        <v>-9.0032858707557506E-2</v>
      </c>
    </row>
    <row r="15" spans="1:17">
      <c r="A15" s="2" t="s">
        <v>31</v>
      </c>
      <c r="B15" s="3" t="s">
        <v>32</v>
      </c>
      <c r="C15" s="8" t="s">
        <v>439</v>
      </c>
      <c r="D15" s="8" t="s">
        <v>29</v>
      </c>
      <c r="E15" s="8"/>
      <c r="F15" s="3" t="s">
        <v>30</v>
      </c>
      <c r="G15" s="8">
        <v>2</v>
      </c>
      <c r="H15" s="3">
        <v>0.17499999999999999</v>
      </c>
      <c r="I15">
        <f t="shared" si="0"/>
        <v>0.17502738225629788</v>
      </c>
    </row>
    <row r="16" spans="1:17">
      <c r="A16" s="2" t="s">
        <v>33</v>
      </c>
      <c r="B16" s="3" t="s">
        <v>34</v>
      </c>
      <c r="C16" s="8" t="s">
        <v>439</v>
      </c>
      <c r="D16" s="8" t="s">
        <v>29</v>
      </c>
      <c r="E16" s="8"/>
      <c r="F16" s="3" t="s">
        <v>30</v>
      </c>
      <c r="G16" s="8">
        <v>3</v>
      </c>
      <c r="H16" s="3">
        <v>0.19500000000000001</v>
      </c>
      <c r="I16">
        <f t="shared" si="0"/>
        <v>0.21883899233296825</v>
      </c>
    </row>
    <row r="17" spans="1:9">
      <c r="A17" s="2" t="s">
        <v>35</v>
      </c>
      <c r="B17" s="3" t="s">
        <v>36</v>
      </c>
      <c r="C17" s="8" t="s">
        <v>439</v>
      </c>
      <c r="D17" s="8" t="s">
        <v>37</v>
      </c>
      <c r="E17" s="8"/>
      <c r="F17" s="3" t="s">
        <v>38</v>
      </c>
      <c r="G17" s="8">
        <v>1</v>
      </c>
      <c r="H17" s="3">
        <v>0.56599999999999995</v>
      </c>
      <c r="I17">
        <f t="shared" si="0"/>
        <v>1.0315443592552025</v>
      </c>
    </row>
    <row r="18" spans="1:9">
      <c r="A18" s="2" t="s">
        <v>39</v>
      </c>
      <c r="B18" s="3" t="s">
        <v>40</v>
      </c>
      <c r="C18" s="8" t="s">
        <v>439</v>
      </c>
      <c r="D18" s="8" t="s">
        <v>37</v>
      </c>
      <c r="E18" s="8"/>
      <c r="F18" s="3" t="s">
        <v>38</v>
      </c>
      <c r="G18" s="8">
        <v>2</v>
      </c>
      <c r="H18" s="3">
        <v>0.622</v>
      </c>
      <c r="I18">
        <f t="shared" si="0"/>
        <v>1.1542168674698796</v>
      </c>
    </row>
    <row r="19" spans="1:9">
      <c r="A19" s="2" t="s">
        <v>41</v>
      </c>
      <c r="B19" s="3" t="s">
        <v>42</v>
      </c>
      <c r="C19" s="8" t="s">
        <v>439</v>
      </c>
      <c r="D19" s="8" t="s">
        <v>37</v>
      </c>
      <c r="E19" s="8"/>
      <c r="F19" s="3" t="s">
        <v>38</v>
      </c>
      <c r="G19" s="8">
        <v>3</v>
      </c>
      <c r="H19" s="3">
        <v>0.622</v>
      </c>
      <c r="I19">
        <f t="shared" si="0"/>
        <v>1.1542168674698796</v>
      </c>
    </row>
    <row r="20" spans="1:9">
      <c r="A20" s="2" t="s">
        <v>43</v>
      </c>
      <c r="B20" s="3" t="s">
        <v>44</v>
      </c>
      <c r="C20" s="8" t="s">
        <v>439</v>
      </c>
      <c r="D20" s="8" t="s">
        <v>45</v>
      </c>
      <c r="E20" s="8"/>
      <c r="F20" s="3" t="s">
        <v>46</v>
      </c>
      <c r="G20" s="8">
        <v>1</v>
      </c>
      <c r="H20" s="3">
        <v>0.22600000000000001</v>
      </c>
      <c r="I20">
        <f t="shared" si="0"/>
        <v>0.28674698795180725</v>
      </c>
    </row>
    <row r="21" spans="1:9">
      <c r="A21" s="2" t="s">
        <v>47</v>
      </c>
      <c r="B21" s="3" t="s">
        <v>48</v>
      </c>
      <c r="C21" s="8" t="s">
        <v>439</v>
      </c>
      <c r="D21" s="8" t="s">
        <v>45</v>
      </c>
      <c r="E21" s="8"/>
      <c r="F21" s="3" t="s">
        <v>46</v>
      </c>
      <c r="G21" s="8">
        <v>2</v>
      </c>
      <c r="H21" s="3">
        <v>0.252</v>
      </c>
      <c r="I21">
        <f t="shared" si="0"/>
        <v>0.34370208105147859</v>
      </c>
    </row>
    <row r="22" spans="1:9">
      <c r="A22" s="2" t="s">
        <v>49</v>
      </c>
      <c r="B22" s="3" t="s">
        <v>50</v>
      </c>
      <c r="C22" s="8" t="s">
        <v>439</v>
      </c>
      <c r="D22" s="8" t="s">
        <v>45</v>
      </c>
      <c r="E22" s="8"/>
      <c r="F22" s="3" t="s">
        <v>46</v>
      </c>
      <c r="G22" s="8">
        <v>3</v>
      </c>
      <c r="H22" s="3">
        <v>0.26700000000000002</v>
      </c>
      <c r="I22">
        <f t="shared" si="0"/>
        <v>0.37656078860898134</v>
      </c>
    </row>
    <row r="23" spans="1:9">
      <c r="A23" s="2" t="s">
        <v>51</v>
      </c>
      <c r="B23" s="3" t="s">
        <v>52</v>
      </c>
      <c r="C23" s="8" t="s">
        <v>440</v>
      </c>
      <c r="D23" s="8" t="s">
        <v>13</v>
      </c>
      <c r="E23" s="8"/>
      <c r="F23" s="3" t="s">
        <v>14</v>
      </c>
      <c r="G23" s="8">
        <v>1</v>
      </c>
      <c r="H23" s="3">
        <v>9.2999999999999999E-2</v>
      </c>
      <c r="I23">
        <f t="shared" si="0"/>
        <v>-4.6002190580503935E-3</v>
      </c>
    </row>
    <row r="24" spans="1:9">
      <c r="A24" s="2" t="s">
        <v>53</v>
      </c>
      <c r="B24" s="3" t="s">
        <v>54</v>
      </c>
      <c r="C24" s="8" t="s">
        <v>440</v>
      </c>
      <c r="D24" s="8" t="s">
        <v>13</v>
      </c>
      <c r="E24" s="8"/>
      <c r="F24" s="3" t="s">
        <v>14</v>
      </c>
      <c r="G24" s="8">
        <v>2</v>
      </c>
      <c r="H24" s="3">
        <v>4.5999999999999999E-2</v>
      </c>
      <c r="I24">
        <f t="shared" si="0"/>
        <v>-0.10755750273822563</v>
      </c>
    </row>
    <row r="25" spans="1:9">
      <c r="A25" s="2" t="s">
        <v>55</v>
      </c>
      <c r="B25" s="3" t="s">
        <v>56</v>
      </c>
      <c r="C25" s="8" t="s">
        <v>440</v>
      </c>
      <c r="D25" s="8" t="s">
        <v>13</v>
      </c>
      <c r="E25" s="8"/>
      <c r="F25" s="3" t="s">
        <v>14</v>
      </c>
      <c r="G25" s="8">
        <v>3</v>
      </c>
      <c r="H25" s="3">
        <v>4.7E-2</v>
      </c>
      <c r="I25">
        <f t="shared" si="0"/>
        <v>-0.10536692223439212</v>
      </c>
    </row>
    <row r="26" spans="1:9">
      <c r="A26" s="2" t="s">
        <v>57</v>
      </c>
      <c r="B26" s="3" t="s">
        <v>58</v>
      </c>
      <c r="C26" s="8" t="s">
        <v>440</v>
      </c>
      <c r="D26" s="8" t="s">
        <v>21</v>
      </c>
      <c r="E26" s="8"/>
      <c r="F26" s="3" t="s">
        <v>22</v>
      </c>
      <c r="G26" s="8">
        <v>1</v>
      </c>
      <c r="H26" s="3">
        <v>0.155</v>
      </c>
      <c r="I26">
        <f t="shared" si="0"/>
        <v>0.1312157721796276</v>
      </c>
    </row>
    <row r="27" spans="1:9">
      <c r="A27" s="2" t="s">
        <v>59</v>
      </c>
      <c r="B27" s="3" t="s">
        <v>60</v>
      </c>
      <c r="C27" s="8" t="s">
        <v>440</v>
      </c>
      <c r="D27" s="8" t="s">
        <v>21</v>
      </c>
      <c r="E27" s="8"/>
      <c r="F27" s="3" t="s">
        <v>22</v>
      </c>
      <c r="G27" s="8">
        <v>2</v>
      </c>
      <c r="H27" s="3">
        <v>6.3E-2</v>
      </c>
      <c r="I27">
        <f t="shared" si="0"/>
        <v>-7.0317634173055865E-2</v>
      </c>
    </row>
    <row r="28" spans="1:9">
      <c r="A28" s="2" t="s">
        <v>61</v>
      </c>
      <c r="B28" s="3" t="s">
        <v>62</v>
      </c>
      <c r="C28" s="8" t="s">
        <v>440</v>
      </c>
      <c r="D28" s="8" t="s">
        <v>21</v>
      </c>
      <c r="E28" s="8"/>
      <c r="F28" s="3" t="s">
        <v>22</v>
      </c>
      <c r="G28" s="8">
        <v>3</v>
      </c>
      <c r="H28" s="3">
        <v>0.06</v>
      </c>
      <c r="I28">
        <f t="shared" si="0"/>
        <v>-7.6889375684556421E-2</v>
      </c>
    </row>
    <row r="29" spans="1:9">
      <c r="A29" s="2" t="s">
        <v>63</v>
      </c>
      <c r="B29" s="3" t="s">
        <v>64</v>
      </c>
      <c r="C29" s="8" t="s">
        <v>440</v>
      </c>
      <c r="D29" s="8" t="s">
        <v>29</v>
      </c>
      <c r="E29" s="8"/>
      <c r="F29" s="3" t="s">
        <v>30</v>
      </c>
      <c r="G29" s="8">
        <v>1</v>
      </c>
      <c r="H29" s="3">
        <v>7.0000000000000007E-2</v>
      </c>
      <c r="I29">
        <f t="shared" si="0"/>
        <v>-5.4983570646221239E-2</v>
      </c>
    </row>
    <row r="30" spans="1:9">
      <c r="A30" s="2" t="s">
        <v>65</v>
      </c>
      <c r="B30" s="3" t="s">
        <v>66</v>
      </c>
      <c r="C30" s="8" t="s">
        <v>440</v>
      </c>
      <c r="D30" s="8" t="s">
        <v>29</v>
      </c>
      <c r="E30" s="8"/>
      <c r="F30" s="3" t="s">
        <v>30</v>
      </c>
      <c r="G30" s="8">
        <v>2</v>
      </c>
      <c r="H30" s="3">
        <v>7.0999999999999994E-2</v>
      </c>
      <c r="I30">
        <f t="shared" si="0"/>
        <v>-5.2792990142387752E-2</v>
      </c>
    </row>
    <row r="31" spans="1:9">
      <c r="A31" s="2" t="s">
        <v>67</v>
      </c>
      <c r="B31" s="3" t="s">
        <v>68</v>
      </c>
      <c r="C31" s="8" t="s">
        <v>440</v>
      </c>
      <c r="D31" s="8" t="s">
        <v>29</v>
      </c>
      <c r="E31" s="8"/>
      <c r="F31" s="3" t="s">
        <v>30</v>
      </c>
      <c r="G31" s="8">
        <v>3</v>
      </c>
      <c r="H31" s="3">
        <v>5.5E-2</v>
      </c>
      <c r="I31">
        <f t="shared" si="0"/>
        <v>-8.7842278203723992E-2</v>
      </c>
    </row>
    <row r="32" spans="1:9">
      <c r="A32" s="2" t="s">
        <v>69</v>
      </c>
      <c r="B32" s="3" t="s">
        <v>70</v>
      </c>
      <c r="C32" s="8" t="s">
        <v>440</v>
      </c>
      <c r="D32" s="8" t="s">
        <v>37</v>
      </c>
      <c r="E32" s="8"/>
      <c r="F32" s="3" t="s">
        <v>38</v>
      </c>
      <c r="G32" s="8">
        <v>1</v>
      </c>
      <c r="H32" s="3">
        <v>0.95199999999999996</v>
      </c>
      <c r="I32">
        <f t="shared" si="0"/>
        <v>1.8771084337349397</v>
      </c>
    </row>
    <row r="33" spans="1:9">
      <c r="A33" s="2" t="s">
        <v>71</v>
      </c>
      <c r="B33" s="3" t="s">
        <v>72</v>
      </c>
      <c r="C33" s="8" t="s">
        <v>440</v>
      </c>
      <c r="D33" s="8" t="s">
        <v>37</v>
      </c>
      <c r="E33" s="8"/>
      <c r="F33" s="3" t="s">
        <v>38</v>
      </c>
      <c r="G33" s="8">
        <v>2</v>
      </c>
      <c r="H33" s="3">
        <v>0.71099999999999997</v>
      </c>
      <c r="I33">
        <f t="shared" si="0"/>
        <v>1.3491785323110623</v>
      </c>
    </row>
    <row r="34" spans="1:9">
      <c r="A34" s="2" t="s">
        <v>73</v>
      </c>
      <c r="B34" s="3" t="s">
        <v>74</v>
      </c>
      <c r="C34" s="8" t="s">
        <v>440</v>
      </c>
      <c r="D34" s="8" t="s">
        <v>37</v>
      </c>
      <c r="E34" s="8"/>
      <c r="F34" s="3" t="s">
        <v>38</v>
      </c>
      <c r="G34" s="8">
        <v>3</v>
      </c>
      <c r="H34" s="3">
        <v>0.92100000000000004</v>
      </c>
      <c r="I34">
        <f t="shared" si="0"/>
        <v>1.8092004381161009</v>
      </c>
    </row>
    <row r="35" spans="1:9">
      <c r="A35" s="2" t="s">
        <v>75</v>
      </c>
      <c r="B35" s="3" t="s">
        <v>76</v>
      </c>
      <c r="C35" s="8" t="s">
        <v>440</v>
      </c>
      <c r="D35" s="8" t="s">
        <v>45</v>
      </c>
      <c r="E35" s="8"/>
      <c r="F35" s="3" t="s">
        <v>46</v>
      </c>
      <c r="G35" s="8">
        <v>1</v>
      </c>
      <c r="H35" s="3">
        <v>9.4E-2</v>
      </c>
      <c r="I35">
        <f t="shared" si="0"/>
        <v>-2.4096385542168755E-3</v>
      </c>
    </row>
    <row r="36" spans="1:9">
      <c r="A36" s="2" t="s">
        <v>77</v>
      </c>
      <c r="B36" s="3" t="s">
        <v>78</v>
      </c>
      <c r="C36" s="8" t="s">
        <v>440</v>
      </c>
      <c r="D36" s="8" t="s">
        <v>45</v>
      </c>
      <c r="E36" s="8"/>
      <c r="F36" s="3" t="s">
        <v>46</v>
      </c>
      <c r="G36" s="8">
        <v>2</v>
      </c>
      <c r="H36" s="3">
        <v>0.10299999999999999</v>
      </c>
      <c r="I36">
        <f t="shared" si="0"/>
        <v>1.7305585980284754E-2</v>
      </c>
    </row>
    <row r="37" spans="1:9">
      <c r="A37" s="2" t="s">
        <v>79</v>
      </c>
      <c r="B37" s="3" t="s">
        <v>80</v>
      </c>
      <c r="C37" s="8" t="s">
        <v>440</v>
      </c>
      <c r="D37" s="8" t="s">
        <v>45</v>
      </c>
      <c r="E37" s="8"/>
      <c r="F37" s="3" t="s">
        <v>46</v>
      </c>
      <c r="G37" s="8">
        <v>3</v>
      </c>
      <c r="H37" s="3">
        <v>0.13</v>
      </c>
      <c r="I37">
        <f t="shared" si="0"/>
        <v>7.6451259583789705E-2</v>
      </c>
    </row>
    <row r="38" spans="1:9">
      <c r="A38" s="2" t="s">
        <v>81</v>
      </c>
      <c r="B38" s="3" t="s">
        <v>82</v>
      </c>
      <c r="C38" s="8" t="s">
        <v>441</v>
      </c>
      <c r="D38" s="8" t="s">
        <v>13</v>
      </c>
      <c r="E38" s="8"/>
      <c r="F38" s="3" t="s">
        <v>14</v>
      </c>
      <c r="G38" s="8">
        <v>1</v>
      </c>
      <c r="H38" s="3">
        <v>6.0999999999999999E-2</v>
      </c>
      <c r="I38">
        <f t="shared" si="0"/>
        <v>-7.4698795180722907E-2</v>
      </c>
    </row>
    <row r="39" spans="1:9">
      <c r="A39" s="2" t="s">
        <v>83</v>
      </c>
      <c r="B39" s="3" t="s">
        <v>84</v>
      </c>
      <c r="C39" s="8" t="s">
        <v>441</v>
      </c>
      <c r="D39" s="8" t="s">
        <v>13</v>
      </c>
      <c r="E39" s="8"/>
      <c r="F39" s="3" t="s">
        <v>14</v>
      </c>
      <c r="G39" s="8">
        <v>2</v>
      </c>
      <c r="H39" s="3">
        <v>5.3999999999999999E-2</v>
      </c>
      <c r="I39">
        <f t="shared" si="0"/>
        <v>-9.0032858707557506E-2</v>
      </c>
    </row>
    <row r="40" spans="1:9">
      <c r="A40" s="2" t="s">
        <v>85</v>
      </c>
      <c r="B40" s="3" t="s">
        <v>86</v>
      </c>
      <c r="C40" s="8" t="s">
        <v>441</v>
      </c>
      <c r="D40" s="8" t="s">
        <v>13</v>
      </c>
      <c r="E40" s="8"/>
      <c r="F40" s="3" t="s">
        <v>14</v>
      </c>
      <c r="G40" s="8">
        <v>3</v>
      </c>
      <c r="H40" s="3">
        <v>0.06</v>
      </c>
      <c r="I40">
        <f t="shared" si="0"/>
        <v>-7.6889375684556421E-2</v>
      </c>
    </row>
    <row r="41" spans="1:9">
      <c r="A41" s="2" t="s">
        <v>87</v>
      </c>
      <c r="B41" s="3" t="s">
        <v>88</v>
      </c>
      <c r="C41" s="8" t="s">
        <v>441</v>
      </c>
      <c r="D41" s="8" t="s">
        <v>21</v>
      </c>
      <c r="E41" s="8"/>
      <c r="F41" s="3" t="s">
        <v>22</v>
      </c>
      <c r="G41" s="8">
        <v>1</v>
      </c>
      <c r="H41" s="3">
        <v>0.14000000000000001</v>
      </c>
      <c r="I41">
        <f>(H41-0.0951)/0.4565</f>
        <v>9.8357064622124873E-2</v>
      </c>
    </row>
    <row r="42" spans="1:9">
      <c r="A42" s="2" t="s">
        <v>89</v>
      </c>
      <c r="B42" s="3" t="s">
        <v>90</v>
      </c>
      <c r="C42" s="8" t="s">
        <v>441</v>
      </c>
      <c r="D42" s="8" t="s">
        <v>21</v>
      </c>
      <c r="E42" s="8"/>
      <c r="F42" s="3" t="s">
        <v>22</v>
      </c>
      <c r="G42" s="8">
        <v>2</v>
      </c>
      <c r="H42" s="3">
        <v>8.4000000000000005E-2</v>
      </c>
      <c r="I42">
        <f t="shared" si="0"/>
        <v>-2.4315443592552024E-2</v>
      </c>
    </row>
    <row r="43" spans="1:9">
      <c r="A43" s="2" t="s">
        <v>91</v>
      </c>
      <c r="B43" s="3" t="s">
        <v>92</v>
      </c>
      <c r="C43" s="8" t="s">
        <v>441</v>
      </c>
      <c r="D43" s="8" t="s">
        <v>21</v>
      </c>
      <c r="E43" s="8"/>
      <c r="F43" s="3" t="s">
        <v>22</v>
      </c>
      <c r="G43" s="8">
        <v>3</v>
      </c>
      <c r="H43" s="3">
        <v>5.1999999999999998E-2</v>
      </c>
      <c r="I43">
        <f t="shared" si="0"/>
        <v>-9.4414019715224548E-2</v>
      </c>
    </row>
    <row r="44" spans="1:9">
      <c r="A44" s="2" t="s">
        <v>93</v>
      </c>
      <c r="B44" s="3" t="s">
        <v>94</v>
      </c>
      <c r="C44" s="8" t="s">
        <v>441</v>
      </c>
      <c r="D44" s="8" t="s">
        <v>29</v>
      </c>
      <c r="E44" s="8"/>
      <c r="F44" s="3" t="s">
        <v>30</v>
      </c>
      <c r="G44" s="8">
        <v>1</v>
      </c>
      <c r="H44" s="3">
        <v>0.06</v>
      </c>
      <c r="I44">
        <f t="shared" si="0"/>
        <v>-7.6889375684556421E-2</v>
      </c>
    </row>
    <row r="45" spans="1:9">
      <c r="A45" s="2" t="s">
        <v>95</v>
      </c>
      <c r="B45" s="3" t="s">
        <v>96</v>
      </c>
      <c r="C45" s="8" t="s">
        <v>441</v>
      </c>
      <c r="D45" s="8" t="s">
        <v>29</v>
      </c>
      <c r="E45" s="8"/>
      <c r="F45" s="3" t="s">
        <v>30</v>
      </c>
      <c r="G45" s="8">
        <v>2</v>
      </c>
      <c r="H45" s="3">
        <v>7.3999999999999996E-2</v>
      </c>
      <c r="I45">
        <f t="shared" si="0"/>
        <v>-4.6221248630887203E-2</v>
      </c>
    </row>
    <row r="46" spans="1:9">
      <c r="A46" s="2" t="s">
        <v>97</v>
      </c>
      <c r="B46" s="3" t="s">
        <v>98</v>
      </c>
      <c r="C46" s="8" t="s">
        <v>441</v>
      </c>
      <c r="D46" s="8" t="s">
        <v>29</v>
      </c>
      <c r="E46" s="8"/>
      <c r="F46" s="3" t="s">
        <v>30</v>
      </c>
      <c r="G46" s="8">
        <v>3</v>
      </c>
      <c r="H46" s="3">
        <v>0.10100000000000001</v>
      </c>
      <c r="I46">
        <f t="shared" si="0"/>
        <v>1.2924424972617749E-2</v>
      </c>
    </row>
    <row r="47" spans="1:9">
      <c r="A47" s="2" t="s">
        <v>414</v>
      </c>
      <c r="B47" s="3" t="s">
        <v>415</v>
      </c>
      <c r="C47" s="8" t="s">
        <v>441</v>
      </c>
      <c r="D47" s="8" t="s">
        <v>37</v>
      </c>
      <c r="E47" s="8"/>
      <c r="F47" s="3" t="s">
        <v>38</v>
      </c>
      <c r="G47" s="8">
        <v>1</v>
      </c>
      <c r="H47" s="6">
        <v>1.0189999999999999</v>
      </c>
      <c r="I47">
        <f t="shared" si="0"/>
        <v>2.0238773274917849</v>
      </c>
    </row>
    <row r="48" spans="1:9">
      <c r="A48" s="2" t="s">
        <v>99</v>
      </c>
      <c r="B48" s="3" t="s">
        <v>100</v>
      </c>
      <c r="C48" s="8" t="s">
        <v>441</v>
      </c>
      <c r="D48" s="8" t="s">
        <v>37</v>
      </c>
      <c r="E48" s="8"/>
      <c r="F48" s="3" t="s">
        <v>38</v>
      </c>
      <c r="G48" s="8">
        <v>2</v>
      </c>
      <c r="H48" s="3">
        <v>0.89700000000000002</v>
      </c>
      <c r="I48">
        <f t="shared" si="0"/>
        <v>1.7566265060240964</v>
      </c>
    </row>
    <row r="49" spans="1:9">
      <c r="A49" s="2" t="s">
        <v>101</v>
      </c>
      <c r="B49" s="3" t="s">
        <v>102</v>
      </c>
      <c r="C49" s="8" t="s">
        <v>441</v>
      </c>
      <c r="D49" s="8" t="s">
        <v>37</v>
      </c>
      <c r="E49" s="8"/>
      <c r="F49" s="3" t="s">
        <v>38</v>
      </c>
      <c r="G49" s="8">
        <v>3</v>
      </c>
      <c r="H49" s="3">
        <v>0.69399999999999995</v>
      </c>
      <c r="I49">
        <f t="shared" si="0"/>
        <v>1.3119386637458925</v>
      </c>
    </row>
    <row r="50" spans="1:9">
      <c r="A50" s="2" t="s">
        <v>103</v>
      </c>
      <c r="B50" s="3" t="s">
        <v>104</v>
      </c>
      <c r="C50" s="8" t="s">
        <v>441</v>
      </c>
      <c r="D50" s="8" t="s">
        <v>45</v>
      </c>
      <c r="E50" s="8"/>
      <c r="F50" s="3" t="s">
        <v>46</v>
      </c>
      <c r="G50" s="8">
        <v>1</v>
      </c>
      <c r="H50" s="3">
        <v>0.151</v>
      </c>
      <c r="I50">
        <f t="shared" si="0"/>
        <v>0.12245345016429351</v>
      </c>
    </row>
    <row r="51" spans="1:9">
      <c r="A51" s="2" t="s">
        <v>105</v>
      </c>
      <c r="B51" s="3" t="s">
        <v>106</v>
      </c>
      <c r="C51" s="8" t="s">
        <v>441</v>
      </c>
      <c r="D51" s="8" t="s">
        <v>45</v>
      </c>
      <c r="E51" s="8"/>
      <c r="F51" s="3" t="s">
        <v>46</v>
      </c>
      <c r="G51" s="8">
        <v>2</v>
      </c>
      <c r="H51" s="3">
        <v>5.6000000000000001E-2</v>
      </c>
      <c r="I51">
        <f t="shared" si="0"/>
        <v>-8.5651697699890478E-2</v>
      </c>
    </row>
    <row r="52" spans="1:9">
      <c r="A52" s="2" t="s">
        <v>107</v>
      </c>
      <c r="B52" s="3" t="s">
        <v>108</v>
      </c>
      <c r="C52" s="8" t="s">
        <v>441</v>
      </c>
      <c r="D52" s="8" t="s">
        <v>45</v>
      </c>
      <c r="E52" s="8"/>
      <c r="F52" s="3" t="s">
        <v>46</v>
      </c>
      <c r="G52" s="8">
        <v>3</v>
      </c>
      <c r="H52" s="3">
        <v>7.0000000000000007E-2</v>
      </c>
      <c r="I52">
        <f t="shared" si="0"/>
        <v>-5.4983570646221239E-2</v>
      </c>
    </row>
    <row r="53" spans="1:9">
      <c r="A53" s="2" t="s">
        <v>109</v>
      </c>
      <c r="B53" s="3" t="s">
        <v>110</v>
      </c>
      <c r="C53" s="8" t="s">
        <v>442</v>
      </c>
      <c r="D53" s="8" t="s">
        <v>13</v>
      </c>
      <c r="E53" s="8"/>
      <c r="F53" s="3" t="s">
        <v>14</v>
      </c>
      <c r="G53" s="8">
        <v>1</v>
      </c>
      <c r="H53" s="3">
        <v>5.8000000000000003E-2</v>
      </c>
      <c r="I53">
        <f t="shared" si="0"/>
        <v>-8.1270536692223436E-2</v>
      </c>
    </row>
    <row r="54" spans="1:9">
      <c r="A54" s="2" t="s">
        <v>111</v>
      </c>
      <c r="B54" s="3" t="s">
        <v>112</v>
      </c>
      <c r="C54" s="8" t="s">
        <v>442</v>
      </c>
      <c r="D54" s="8" t="s">
        <v>13</v>
      </c>
      <c r="E54" s="8"/>
      <c r="F54" s="3" t="s">
        <v>14</v>
      </c>
      <c r="G54" s="8">
        <v>2</v>
      </c>
      <c r="H54" s="3">
        <v>5.7000000000000002E-2</v>
      </c>
      <c r="I54">
        <f t="shared" si="0"/>
        <v>-8.346111719605695E-2</v>
      </c>
    </row>
    <row r="55" spans="1:9">
      <c r="A55" s="2" t="s">
        <v>113</v>
      </c>
      <c r="B55" s="3" t="s">
        <v>114</v>
      </c>
      <c r="C55" s="8" t="s">
        <v>442</v>
      </c>
      <c r="D55" s="8" t="s">
        <v>13</v>
      </c>
      <c r="E55" s="8"/>
      <c r="F55" s="3" t="s">
        <v>14</v>
      </c>
      <c r="G55" s="8">
        <v>3</v>
      </c>
      <c r="H55" s="3">
        <v>5.6000000000000001E-2</v>
      </c>
      <c r="I55">
        <f t="shared" si="0"/>
        <v>-8.5651697699890478E-2</v>
      </c>
    </row>
    <row r="56" spans="1:9">
      <c r="A56" s="2" t="s">
        <v>115</v>
      </c>
      <c r="B56" s="3" t="s">
        <v>116</v>
      </c>
      <c r="C56" s="8" t="s">
        <v>442</v>
      </c>
      <c r="D56" s="8" t="s">
        <v>21</v>
      </c>
      <c r="E56" s="8"/>
      <c r="F56" s="3" t="s">
        <v>22</v>
      </c>
      <c r="G56" s="8">
        <v>1</v>
      </c>
      <c r="H56" s="3">
        <v>0.14799999999999999</v>
      </c>
      <c r="I56">
        <f t="shared" si="0"/>
        <v>0.11588170865279296</v>
      </c>
    </row>
    <row r="57" spans="1:9">
      <c r="A57" s="2" t="s">
        <v>117</v>
      </c>
      <c r="B57" s="3" t="s">
        <v>118</v>
      </c>
      <c r="C57" s="8" t="s">
        <v>442</v>
      </c>
      <c r="D57" s="8" t="s">
        <v>21</v>
      </c>
      <c r="E57" s="8"/>
      <c r="F57" s="3" t="s">
        <v>22</v>
      </c>
      <c r="G57" s="8">
        <v>2</v>
      </c>
      <c r="H57" s="3">
        <v>0.153</v>
      </c>
      <c r="I57">
        <f t="shared" si="0"/>
        <v>0.12683461117196054</v>
      </c>
    </row>
    <row r="58" spans="1:9">
      <c r="A58" s="2" t="s">
        <v>119</v>
      </c>
      <c r="B58" s="3" t="s">
        <v>120</v>
      </c>
      <c r="C58" s="8" t="s">
        <v>442</v>
      </c>
      <c r="D58" s="8" t="s">
        <v>21</v>
      </c>
      <c r="E58" s="8"/>
      <c r="F58" s="3" t="s">
        <v>22</v>
      </c>
      <c r="G58" s="8">
        <v>3</v>
      </c>
      <c r="H58" s="3">
        <v>0.14599999999999999</v>
      </c>
      <c r="I58">
        <f t="shared" si="0"/>
        <v>0.11150054764512593</v>
      </c>
    </row>
    <row r="59" spans="1:9">
      <c r="A59" s="2" t="s">
        <v>121</v>
      </c>
      <c r="B59" s="3" t="s">
        <v>122</v>
      </c>
      <c r="C59" s="8" t="s">
        <v>442</v>
      </c>
      <c r="D59" s="8" t="s">
        <v>29</v>
      </c>
      <c r="E59" s="8"/>
      <c r="F59" s="3" t="s">
        <v>30</v>
      </c>
      <c r="G59" s="8">
        <v>1</v>
      </c>
      <c r="H59" s="3">
        <v>6.6000000000000003E-2</v>
      </c>
      <c r="I59">
        <f t="shared" si="0"/>
        <v>-6.3745892661555309E-2</v>
      </c>
    </row>
    <row r="60" spans="1:9">
      <c r="A60" s="2" t="s">
        <v>123</v>
      </c>
      <c r="B60" s="3" t="s">
        <v>124</v>
      </c>
      <c r="C60" s="8" t="s">
        <v>442</v>
      </c>
      <c r="D60" s="8" t="s">
        <v>29</v>
      </c>
      <c r="E60" s="8"/>
      <c r="F60" s="3" t="s">
        <v>30</v>
      </c>
      <c r="G60" s="8">
        <v>2</v>
      </c>
      <c r="H60" s="3">
        <v>7.8E-2</v>
      </c>
      <c r="I60">
        <f t="shared" si="0"/>
        <v>-3.7458926615553126E-2</v>
      </c>
    </row>
    <row r="61" spans="1:9">
      <c r="A61" s="2" t="s">
        <v>125</v>
      </c>
      <c r="B61" s="3" t="s">
        <v>126</v>
      </c>
      <c r="C61" s="8" t="s">
        <v>442</v>
      </c>
      <c r="D61" s="8" t="s">
        <v>29</v>
      </c>
      <c r="E61" s="8"/>
      <c r="F61" s="3" t="s">
        <v>30</v>
      </c>
      <c r="G61" s="8">
        <v>3</v>
      </c>
      <c r="H61" s="3">
        <v>8.4000000000000005E-2</v>
      </c>
      <c r="I61">
        <f t="shared" si="0"/>
        <v>-2.4315443592552024E-2</v>
      </c>
    </row>
    <row r="62" spans="1:9">
      <c r="A62" s="2" t="s">
        <v>127</v>
      </c>
      <c r="B62" s="3" t="s">
        <v>128</v>
      </c>
      <c r="C62" s="8" t="s">
        <v>442</v>
      </c>
      <c r="D62" s="8" t="s">
        <v>37</v>
      </c>
      <c r="E62" s="8"/>
      <c r="F62" s="3" t="s">
        <v>38</v>
      </c>
      <c r="G62" s="8">
        <v>1</v>
      </c>
      <c r="H62" s="3">
        <v>0.85899999999999999</v>
      </c>
      <c r="I62">
        <f t="shared" si="0"/>
        <v>1.6733844468784227</v>
      </c>
    </row>
    <row r="63" spans="1:9">
      <c r="A63" s="2" t="s">
        <v>129</v>
      </c>
      <c r="B63" s="3" t="s">
        <v>130</v>
      </c>
      <c r="C63" s="8" t="s">
        <v>442</v>
      </c>
      <c r="D63" s="8" t="s">
        <v>37</v>
      </c>
      <c r="E63" s="8"/>
      <c r="F63" s="3" t="s">
        <v>38</v>
      </c>
      <c r="G63" s="8">
        <v>2</v>
      </c>
      <c r="H63" s="3">
        <v>0.71</v>
      </c>
      <c r="I63">
        <f t="shared" si="0"/>
        <v>1.346987951807229</v>
      </c>
    </row>
    <row r="64" spans="1:9">
      <c r="A64" s="2" t="s">
        <v>131</v>
      </c>
      <c r="B64" s="3" t="s">
        <v>132</v>
      </c>
      <c r="C64" s="8" t="s">
        <v>442</v>
      </c>
      <c r="D64" s="8" t="s">
        <v>37</v>
      </c>
      <c r="E64" s="8"/>
      <c r="F64" s="3" t="s">
        <v>38</v>
      </c>
      <c r="G64" s="8">
        <v>3</v>
      </c>
      <c r="H64" s="3">
        <v>0.68600000000000005</v>
      </c>
      <c r="I64">
        <f t="shared" si="0"/>
        <v>1.2944140197152247</v>
      </c>
    </row>
    <row r="65" spans="1:9">
      <c r="A65" s="2" t="s">
        <v>133</v>
      </c>
      <c r="B65" s="3" t="s">
        <v>134</v>
      </c>
      <c r="C65" s="8" t="s">
        <v>442</v>
      </c>
      <c r="D65" s="8" t="s">
        <v>45</v>
      </c>
      <c r="E65" s="8"/>
      <c r="F65" s="3" t="s">
        <v>46</v>
      </c>
      <c r="G65" s="8">
        <v>1</v>
      </c>
      <c r="H65" s="3">
        <v>0.17199999999999999</v>
      </c>
      <c r="I65">
        <f t="shared" si="0"/>
        <v>0.16845564074479732</v>
      </c>
    </row>
    <row r="66" spans="1:9">
      <c r="A66" s="2" t="s">
        <v>135</v>
      </c>
      <c r="B66" s="3" t="s">
        <v>136</v>
      </c>
      <c r="C66" s="8" t="s">
        <v>442</v>
      </c>
      <c r="D66" s="8" t="s">
        <v>45</v>
      </c>
      <c r="E66" s="8"/>
      <c r="F66" s="3" t="s">
        <v>46</v>
      </c>
      <c r="G66" s="8">
        <v>2</v>
      </c>
      <c r="H66" s="3">
        <v>0.17</v>
      </c>
      <c r="I66">
        <f t="shared" si="0"/>
        <v>0.16407447973713035</v>
      </c>
    </row>
    <row r="67" spans="1:9">
      <c r="A67" s="2" t="s">
        <v>137</v>
      </c>
      <c r="B67" s="3" t="s">
        <v>138</v>
      </c>
      <c r="C67" s="8" t="s">
        <v>442</v>
      </c>
      <c r="D67" s="8" t="s">
        <v>45</v>
      </c>
      <c r="E67" s="8"/>
      <c r="F67" s="3" t="s">
        <v>46</v>
      </c>
      <c r="G67" s="8">
        <v>3</v>
      </c>
      <c r="H67" s="3">
        <v>0.19</v>
      </c>
      <c r="I67">
        <f t="shared" ref="I67:I130" si="1">(H67-0.0951)/0.4565</f>
        <v>0.20788608981380063</v>
      </c>
    </row>
    <row r="68" spans="1:9">
      <c r="A68" s="2" t="s">
        <v>139</v>
      </c>
      <c r="B68" s="3" t="s">
        <v>140</v>
      </c>
      <c r="C68" s="8" t="s">
        <v>443</v>
      </c>
      <c r="D68" s="8" t="s">
        <v>13</v>
      </c>
      <c r="E68" s="8"/>
      <c r="F68" s="3" t="s">
        <v>14</v>
      </c>
      <c r="G68" s="8">
        <v>1</v>
      </c>
      <c r="H68" s="3">
        <v>5.8000000000000003E-2</v>
      </c>
      <c r="I68">
        <f t="shared" si="1"/>
        <v>-8.1270536692223436E-2</v>
      </c>
    </row>
    <row r="69" spans="1:9">
      <c r="A69" s="2" t="s">
        <v>141</v>
      </c>
      <c r="B69" s="3" t="s">
        <v>142</v>
      </c>
      <c r="C69" s="8" t="s">
        <v>443</v>
      </c>
      <c r="D69" s="8" t="s">
        <v>13</v>
      </c>
      <c r="E69" s="8"/>
      <c r="F69" s="3" t="s">
        <v>14</v>
      </c>
      <c r="G69" s="8">
        <v>2</v>
      </c>
      <c r="H69" s="3">
        <v>5.1999999999999998E-2</v>
      </c>
      <c r="I69">
        <f t="shared" si="1"/>
        <v>-9.4414019715224548E-2</v>
      </c>
    </row>
    <row r="70" spans="1:9">
      <c r="A70" s="2" t="s">
        <v>143</v>
      </c>
      <c r="B70" s="3" t="s">
        <v>144</v>
      </c>
      <c r="C70" s="8" t="s">
        <v>443</v>
      </c>
      <c r="D70" s="8" t="s">
        <v>13</v>
      </c>
      <c r="E70" s="8"/>
      <c r="F70" s="3" t="s">
        <v>14</v>
      </c>
      <c r="G70" s="8">
        <v>3</v>
      </c>
      <c r="H70" s="3">
        <v>5.2999999999999999E-2</v>
      </c>
      <c r="I70">
        <f t="shared" si="1"/>
        <v>-9.2223439211391034E-2</v>
      </c>
    </row>
    <row r="71" spans="1:9">
      <c r="A71" s="2" t="s">
        <v>145</v>
      </c>
      <c r="B71" s="3" t="s">
        <v>146</v>
      </c>
      <c r="C71" s="8" t="s">
        <v>443</v>
      </c>
      <c r="D71" s="8" t="s">
        <v>21</v>
      </c>
      <c r="E71" s="8"/>
      <c r="F71" s="3" t="s">
        <v>22</v>
      </c>
      <c r="G71" s="8">
        <v>1</v>
      </c>
      <c r="H71" s="3">
        <v>0.309</v>
      </c>
      <c r="I71">
        <f t="shared" si="1"/>
        <v>0.46856516976998897</v>
      </c>
    </row>
    <row r="72" spans="1:9">
      <c r="A72" s="2" t="s">
        <v>147</v>
      </c>
      <c r="B72" s="3" t="s">
        <v>148</v>
      </c>
      <c r="C72" s="8" t="s">
        <v>443</v>
      </c>
      <c r="D72" s="8" t="s">
        <v>21</v>
      </c>
      <c r="E72" s="8"/>
      <c r="F72" s="3" t="s">
        <v>22</v>
      </c>
      <c r="G72" s="8">
        <v>2</v>
      </c>
      <c r="H72" s="3">
        <v>0.25</v>
      </c>
      <c r="I72">
        <f t="shared" si="1"/>
        <v>0.33932092004381154</v>
      </c>
    </row>
    <row r="73" spans="1:9">
      <c r="A73" s="2" t="s">
        <v>149</v>
      </c>
      <c r="B73" s="3" t="s">
        <v>150</v>
      </c>
      <c r="C73" s="8" t="s">
        <v>443</v>
      </c>
      <c r="D73" s="8" t="s">
        <v>21</v>
      </c>
      <c r="E73" s="8"/>
      <c r="F73" s="3" t="s">
        <v>22</v>
      </c>
      <c r="G73" s="8">
        <v>3</v>
      </c>
      <c r="H73" s="3">
        <v>0.30299999999999999</v>
      </c>
      <c r="I73">
        <f t="shared" si="1"/>
        <v>0.45542168674698785</v>
      </c>
    </row>
    <row r="74" spans="1:9">
      <c r="A74" s="2" t="s">
        <v>151</v>
      </c>
      <c r="B74" s="3" t="s">
        <v>152</v>
      </c>
      <c r="C74" s="8" t="s">
        <v>443</v>
      </c>
      <c r="D74" s="8" t="s">
        <v>29</v>
      </c>
      <c r="E74" s="8"/>
      <c r="F74" s="3" t="s">
        <v>30</v>
      </c>
      <c r="G74" s="8">
        <v>1</v>
      </c>
      <c r="H74" s="3">
        <v>6.7000000000000004E-2</v>
      </c>
      <c r="I74">
        <f t="shared" si="1"/>
        <v>-6.1555312157721795E-2</v>
      </c>
    </row>
    <row r="75" spans="1:9">
      <c r="A75" s="2" t="s">
        <v>153</v>
      </c>
      <c r="B75" s="3" t="s">
        <v>154</v>
      </c>
      <c r="C75" s="8" t="s">
        <v>443</v>
      </c>
      <c r="D75" s="8" t="s">
        <v>29</v>
      </c>
      <c r="E75" s="8"/>
      <c r="F75" s="3" t="s">
        <v>30</v>
      </c>
      <c r="G75" s="8">
        <v>2</v>
      </c>
      <c r="H75" s="3">
        <v>7.5999999999999998E-2</v>
      </c>
      <c r="I75">
        <f t="shared" si="1"/>
        <v>-4.1840087623220168E-2</v>
      </c>
    </row>
    <row r="76" spans="1:9">
      <c r="A76" s="2" t="s">
        <v>155</v>
      </c>
      <c r="B76" s="3" t="s">
        <v>156</v>
      </c>
      <c r="C76" s="8" t="s">
        <v>443</v>
      </c>
      <c r="D76" s="8" t="s">
        <v>29</v>
      </c>
      <c r="E76" s="8"/>
      <c r="F76" s="3" t="s">
        <v>30</v>
      </c>
      <c r="G76" s="8">
        <v>3</v>
      </c>
      <c r="H76" s="3">
        <v>0.11</v>
      </c>
      <c r="I76">
        <f t="shared" si="1"/>
        <v>3.2639649507119381E-2</v>
      </c>
    </row>
    <row r="77" spans="1:9">
      <c r="A77" s="2" t="s">
        <v>157</v>
      </c>
      <c r="B77" s="3" t="s">
        <v>158</v>
      </c>
      <c r="C77" s="8" t="s">
        <v>443</v>
      </c>
      <c r="D77" s="8" t="s">
        <v>37</v>
      </c>
      <c r="E77" s="8"/>
      <c r="F77" s="3" t="s">
        <v>38</v>
      </c>
      <c r="G77" s="8">
        <v>1</v>
      </c>
      <c r="H77" s="3">
        <v>0.73</v>
      </c>
      <c r="I77">
        <f t="shared" si="1"/>
        <v>1.3907995618838993</v>
      </c>
    </row>
    <row r="78" spans="1:9">
      <c r="A78" s="2" t="s">
        <v>159</v>
      </c>
      <c r="B78" s="3" t="s">
        <v>160</v>
      </c>
      <c r="C78" s="8" t="s">
        <v>443</v>
      </c>
      <c r="D78" s="8" t="s">
        <v>37</v>
      </c>
      <c r="E78" s="8"/>
      <c r="F78" s="3" t="s">
        <v>38</v>
      </c>
      <c r="G78" s="8">
        <v>2</v>
      </c>
      <c r="H78" s="3">
        <v>0.60799999999999998</v>
      </c>
      <c r="I78">
        <f t="shared" si="1"/>
        <v>1.1235487404162103</v>
      </c>
    </row>
    <row r="79" spans="1:9">
      <c r="A79" s="2" t="s">
        <v>161</v>
      </c>
      <c r="B79" s="3" t="s">
        <v>162</v>
      </c>
      <c r="C79" s="8" t="s">
        <v>443</v>
      </c>
      <c r="D79" s="8" t="s">
        <v>37</v>
      </c>
      <c r="E79" s="8"/>
      <c r="F79" s="3" t="s">
        <v>38</v>
      </c>
      <c r="G79" s="8">
        <v>3</v>
      </c>
      <c r="H79" s="3">
        <v>0.72899999999999998</v>
      </c>
      <c r="I79">
        <f t="shared" si="1"/>
        <v>1.3886089813800657</v>
      </c>
    </row>
    <row r="80" spans="1:9">
      <c r="A80" s="2" t="s">
        <v>163</v>
      </c>
      <c r="B80" s="3" t="s">
        <v>164</v>
      </c>
      <c r="C80" s="8" t="s">
        <v>443</v>
      </c>
      <c r="D80" s="8" t="s">
        <v>45</v>
      </c>
      <c r="E80" s="8"/>
      <c r="F80" s="3" t="s">
        <v>46</v>
      </c>
      <c r="G80" s="8">
        <v>1</v>
      </c>
      <c r="H80" s="3">
        <v>0.2</v>
      </c>
      <c r="I80">
        <f t="shared" si="1"/>
        <v>0.22979189485213583</v>
      </c>
    </row>
    <row r="81" spans="1:9">
      <c r="A81" s="2" t="s">
        <v>165</v>
      </c>
      <c r="B81" s="3" t="s">
        <v>166</v>
      </c>
      <c r="C81" s="8" t="s">
        <v>443</v>
      </c>
      <c r="D81" s="8" t="s">
        <v>45</v>
      </c>
      <c r="E81" s="8"/>
      <c r="F81" s="3" t="s">
        <v>46</v>
      </c>
      <c r="G81" s="8">
        <v>2</v>
      </c>
      <c r="H81" s="3">
        <v>0.26700000000000002</v>
      </c>
      <c r="I81">
        <f t="shared" si="1"/>
        <v>0.37656078860898134</v>
      </c>
    </row>
    <row r="82" spans="1:9">
      <c r="A82" s="2" t="s">
        <v>167</v>
      </c>
      <c r="B82" s="3" t="s">
        <v>168</v>
      </c>
      <c r="C82" s="8" t="s">
        <v>443</v>
      </c>
      <c r="D82" s="8" t="s">
        <v>45</v>
      </c>
      <c r="E82" s="8"/>
      <c r="F82" s="3" t="s">
        <v>46</v>
      </c>
      <c r="G82" s="8">
        <v>3</v>
      </c>
      <c r="H82" s="3">
        <v>0.14099999999999999</v>
      </c>
      <c r="I82">
        <f t="shared" si="1"/>
        <v>0.10054764512595833</v>
      </c>
    </row>
    <row r="83" spans="1:9">
      <c r="A83" s="2" t="s">
        <v>169</v>
      </c>
      <c r="B83" s="3" t="s">
        <v>170</v>
      </c>
      <c r="C83" s="8" t="s">
        <v>444</v>
      </c>
      <c r="D83" s="8" t="s">
        <v>13</v>
      </c>
      <c r="E83" s="8"/>
      <c r="F83" s="3" t="s">
        <v>14</v>
      </c>
      <c r="G83" s="8">
        <v>1</v>
      </c>
      <c r="H83" s="3">
        <v>5.7000000000000002E-2</v>
      </c>
      <c r="I83">
        <f t="shared" si="1"/>
        <v>-8.346111719605695E-2</v>
      </c>
    </row>
    <row r="84" spans="1:9">
      <c r="A84" s="2" t="s">
        <v>171</v>
      </c>
      <c r="B84" s="3" t="s">
        <v>172</v>
      </c>
      <c r="C84" s="8" t="s">
        <v>444</v>
      </c>
      <c r="D84" s="8" t="s">
        <v>13</v>
      </c>
      <c r="E84" s="8"/>
      <c r="F84" s="3" t="s">
        <v>14</v>
      </c>
      <c r="G84" s="8">
        <v>2</v>
      </c>
      <c r="H84" s="3">
        <v>5.7000000000000002E-2</v>
      </c>
      <c r="I84">
        <f t="shared" si="1"/>
        <v>-8.346111719605695E-2</v>
      </c>
    </row>
    <row r="85" spans="1:9">
      <c r="A85" s="2" t="s">
        <v>173</v>
      </c>
      <c r="B85" s="3" t="s">
        <v>174</v>
      </c>
      <c r="C85" s="8" t="s">
        <v>444</v>
      </c>
      <c r="D85" s="8" t="s">
        <v>13</v>
      </c>
      <c r="E85" s="8"/>
      <c r="F85" s="3" t="s">
        <v>14</v>
      </c>
      <c r="G85" s="8">
        <v>3</v>
      </c>
      <c r="H85" s="3">
        <v>5.3999999999999999E-2</v>
      </c>
      <c r="I85">
        <f t="shared" si="1"/>
        <v>-9.0032858707557506E-2</v>
      </c>
    </row>
    <row r="86" spans="1:9">
      <c r="A86" s="2" t="s">
        <v>175</v>
      </c>
      <c r="B86" s="3" t="s">
        <v>176</v>
      </c>
      <c r="C86" s="8" t="s">
        <v>444</v>
      </c>
      <c r="D86" s="8" t="s">
        <v>21</v>
      </c>
      <c r="E86" s="8"/>
      <c r="F86" s="3" t="s">
        <v>22</v>
      </c>
      <c r="G86" s="8">
        <v>1</v>
      </c>
      <c r="H86" s="3">
        <v>0.26</v>
      </c>
      <c r="I86">
        <f t="shared" si="1"/>
        <v>0.36122672508214676</v>
      </c>
    </row>
    <row r="87" spans="1:9">
      <c r="A87" s="2" t="s">
        <v>177</v>
      </c>
      <c r="B87" s="3" t="s">
        <v>178</v>
      </c>
      <c r="C87" s="8" t="s">
        <v>444</v>
      </c>
      <c r="D87" s="8" t="s">
        <v>21</v>
      </c>
      <c r="E87" s="8"/>
      <c r="F87" s="3" t="s">
        <v>22</v>
      </c>
      <c r="G87" s="8">
        <v>2</v>
      </c>
      <c r="H87" s="3">
        <v>0.20799999999999999</v>
      </c>
      <c r="I87">
        <f t="shared" si="1"/>
        <v>0.24731653888280392</v>
      </c>
    </row>
    <row r="88" spans="1:9">
      <c r="A88" s="2" t="s">
        <v>179</v>
      </c>
      <c r="B88" s="3" t="s">
        <v>180</v>
      </c>
      <c r="C88" s="8" t="s">
        <v>444</v>
      </c>
      <c r="D88" s="8" t="s">
        <v>21</v>
      </c>
      <c r="E88" s="8"/>
      <c r="F88" s="3" t="s">
        <v>22</v>
      </c>
      <c r="G88" s="8">
        <v>3</v>
      </c>
      <c r="H88" s="3">
        <v>0.23400000000000001</v>
      </c>
      <c r="I88">
        <f t="shared" si="1"/>
        <v>0.30427163198247542</v>
      </c>
    </row>
    <row r="89" spans="1:9">
      <c r="A89" s="2" t="s">
        <v>181</v>
      </c>
      <c r="B89" s="3" t="s">
        <v>182</v>
      </c>
      <c r="C89" s="8" t="s">
        <v>444</v>
      </c>
      <c r="D89" s="8" t="s">
        <v>29</v>
      </c>
      <c r="E89" s="8"/>
      <c r="F89" s="3" t="s">
        <v>30</v>
      </c>
      <c r="G89" s="8">
        <v>1</v>
      </c>
      <c r="H89" s="3">
        <v>6.8000000000000005E-2</v>
      </c>
      <c r="I89">
        <f t="shared" si="1"/>
        <v>-5.9364731653888274E-2</v>
      </c>
    </row>
    <row r="90" spans="1:9">
      <c r="A90" s="2" t="s">
        <v>183</v>
      </c>
      <c r="B90" s="3" t="s">
        <v>184</v>
      </c>
      <c r="C90" s="8" t="s">
        <v>444</v>
      </c>
      <c r="D90" s="8" t="s">
        <v>29</v>
      </c>
      <c r="E90" s="8"/>
      <c r="F90" s="3" t="s">
        <v>30</v>
      </c>
      <c r="G90" s="8">
        <v>2</v>
      </c>
      <c r="H90" s="3">
        <v>6.3E-2</v>
      </c>
      <c r="I90">
        <f t="shared" si="1"/>
        <v>-7.0317634173055865E-2</v>
      </c>
    </row>
    <row r="91" spans="1:9">
      <c r="A91" s="2" t="s">
        <v>185</v>
      </c>
      <c r="B91" s="3" t="s">
        <v>186</v>
      </c>
      <c r="C91" s="8" t="s">
        <v>444</v>
      </c>
      <c r="D91" s="8" t="s">
        <v>29</v>
      </c>
      <c r="E91" s="8"/>
      <c r="F91" s="3" t="s">
        <v>30</v>
      </c>
      <c r="G91" s="8">
        <v>3</v>
      </c>
      <c r="H91" s="3">
        <v>0.108</v>
      </c>
      <c r="I91">
        <f t="shared" si="1"/>
        <v>2.8258488499452342E-2</v>
      </c>
    </row>
    <row r="92" spans="1:9">
      <c r="A92" s="2" t="s">
        <v>187</v>
      </c>
      <c r="B92" s="3" t="s">
        <v>188</v>
      </c>
      <c r="C92" s="8" t="s">
        <v>444</v>
      </c>
      <c r="D92" s="8" t="s">
        <v>37</v>
      </c>
      <c r="E92" s="8"/>
      <c r="F92" s="3" t="s">
        <v>38</v>
      </c>
      <c r="G92" s="8">
        <v>1</v>
      </c>
      <c r="H92" s="3">
        <v>0.8</v>
      </c>
      <c r="I92">
        <f t="shared" si="1"/>
        <v>1.5441401971522455</v>
      </c>
    </row>
    <row r="93" spans="1:9">
      <c r="A93" s="2" t="s">
        <v>189</v>
      </c>
      <c r="B93" s="3" t="s">
        <v>190</v>
      </c>
      <c r="C93" s="8" t="s">
        <v>444</v>
      </c>
      <c r="D93" s="8" t="s">
        <v>37</v>
      </c>
      <c r="E93" s="8"/>
      <c r="F93" s="3" t="s">
        <v>38</v>
      </c>
      <c r="G93" s="8">
        <v>2</v>
      </c>
      <c r="H93" s="3">
        <v>0.88600000000000001</v>
      </c>
      <c r="I93">
        <f t="shared" si="1"/>
        <v>1.7325301204819277</v>
      </c>
    </row>
    <row r="94" spans="1:9">
      <c r="A94" s="2" t="s">
        <v>191</v>
      </c>
      <c r="B94" s="3" t="s">
        <v>192</v>
      </c>
      <c r="C94" s="8" t="s">
        <v>444</v>
      </c>
      <c r="D94" s="8" t="s">
        <v>37</v>
      </c>
      <c r="E94" s="8"/>
      <c r="F94" s="3" t="s">
        <v>38</v>
      </c>
      <c r="G94" s="8">
        <v>3</v>
      </c>
      <c r="H94" s="3">
        <v>0.61399999999999999</v>
      </c>
      <c r="I94">
        <f t="shared" si="1"/>
        <v>1.1366922234392114</v>
      </c>
    </row>
    <row r="95" spans="1:9">
      <c r="A95" s="2" t="s">
        <v>193</v>
      </c>
      <c r="B95" s="3" t="s">
        <v>194</v>
      </c>
      <c r="C95" s="8" t="s">
        <v>444</v>
      </c>
      <c r="D95" s="8" t="s">
        <v>45</v>
      </c>
      <c r="E95" s="8"/>
      <c r="F95" s="3" t="s">
        <v>46</v>
      </c>
      <c r="G95" s="8">
        <v>1</v>
      </c>
      <c r="H95" s="3">
        <v>0.26</v>
      </c>
      <c r="I95">
        <f t="shared" si="1"/>
        <v>0.36122672508214676</v>
      </c>
    </row>
    <row r="96" spans="1:9">
      <c r="A96" s="2" t="s">
        <v>195</v>
      </c>
      <c r="B96" s="3" t="s">
        <v>196</v>
      </c>
      <c r="C96" s="8" t="s">
        <v>444</v>
      </c>
      <c r="D96" s="8" t="s">
        <v>45</v>
      </c>
      <c r="E96" s="8"/>
      <c r="F96" s="3" t="s">
        <v>46</v>
      </c>
      <c r="G96" s="8">
        <v>2</v>
      </c>
      <c r="H96" s="3">
        <v>0.104</v>
      </c>
      <c r="I96">
        <f t="shared" si="1"/>
        <v>1.9496166484118272E-2</v>
      </c>
    </row>
    <row r="97" spans="1:19">
      <c r="A97" s="2" t="s">
        <v>197</v>
      </c>
      <c r="B97" s="3" t="s">
        <v>198</v>
      </c>
      <c r="C97" s="8" t="s">
        <v>444</v>
      </c>
      <c r="D97" s="8" t="s">
        <v>45</v>
      </c>
      <c r="E97" s="8"/>
      <c r="F97" s="3" t="s">
        <v>46</v>
      </c>
      <c r="G97" s="8">
        <v>3</v>
      </c>
      <c r="H97" s="3">
        <v>0.23400000000000001</v>
      </c>
      <c r="I97">
        <f t="shared" si="1"/>
        <v>0.30427163198247542</v>
      </c>
    </row>
    <row r="98" spans="1:19">
      <c r="A98" s="2" t="s">
        <v>445</v>
      </c>
      <c r="B98" s="3" t="s">
        <v>426</v>
      </c>
      <c r="C98" s="8" t="s">
        <v>426</v>
      </c>
      <c r="D98" s="8"/>
      <c r="E98" s="8"/>
      <c r="F98" s="8"/>
      <c r="G98" s="8"/>
      <c r="H98" s="3">
        <v>3.5000000000000003E-2</v>
      </c>
      <c r="I98">
        <f t="shared" si="1"/>
        <v>-0.13165388828039429</v>
      </c>
    </row>
    <row r="99" spans="1:19">
      <c r="A99" s="2" t="s">
        <v>446</v>
      </c>
      <c r="B99" s="3" t="s">
        <v>428</v>
      </c>
      <c r="C99" s="8" t="s">
        <v>429</v>
      </c>
      <c r="D99" s="8">
        <v>1</v>
      </c>
      <c r="E99" s="8"/>
      <c r="F99" s="8"/>
      <c r="G99" s="8"/>
      <c r="H99" s="3">
        <v>3.9620000000000002</v>
      </c>
      <c r="I99">
        <f t="shared" si="1"/>
        <v>8.4707557502738222</v>
      </c>
    </row>
    <row r="100" spans="1:19">
      <c r="A100" s="2" t="s">
        <v>447</v>
      </c>
      <c r="B100" s="3" t="s">
        <v>431</v>
      </c>
      <c r="C100" s="8" t="s">
        <v>429</v>
      </c>
      <c r="D100" s="8">
        <v>2</v>
      </c>
      <c r="E100" s="8"/>
      <c r="F100" s="8"/>
      <c r="G100" s="8"/>
      <c r="H100" s="3">
        <v>3.9590000000000001</v>
      </c>
      <c r="I100">
        <f t="shared" si="1"/>
        <v>8.4641840087623219</v>
      </c>
    </row>
    <row r="101" spans="1:19">
      <c r="A101" s="2" t="s">
        <v>448</v>
      </c>
      <c r="B101" s="3" t="s">
        <v>434</v>
      </c>
      <c r="C101" s="8" t="s">
        <v>429</v>
      </c>
      <c r="D101" s="8">
        <v>3</v>
      </c>
      <c r="E101" s="8"/>
      <c r="F101" s="8"/>
      <c r="G101" s="8"/>
      <c r="H101" s="6">
        <v>3.6150000000000002</v>
      </c>
      <c r="I101">
        <f t="shared" si="1"/>
        <v>7.7106243154435932</v>
      </c>
    </row>
    <row r="102" spans="1:19">
      <c r="A102" s="2" t="s">
        <v>449</v>
      </c>
      <c r="B102" s="3" t="s">
        <v>436</v>
      </c>
      <c r="C102" s="8" t="s">
        <v>429</v>
      </c>
      <c r="D102" s="8">
        <v>4</v>
      </c>
      <c r="E102" s="8"/>
      <c r="F102" s="8"/>
      <c r="G102" s="8"/>
      <c r="H102" s="3">
        <v>0.85699999999999998</v>
      </c>
      <c r="I102">
        <f t="shared" si="1"/>
        <v>1.6690032858707557</v>
      </c>
    </row>
    <row r="103" spans="1:19">
      <c r="A103" s="2" t="s">
        <v>450</v>
      </c>
      <c r="B103" s="3" t="s">
        <v>438</v>
      </c>
      <c r="C103" s="8" t="s">
        <v>429</v>
      </c>
      <c r="D103" s="8">
        <v>5</v>
      </c>
      <c r="E103" s="8"/>
      <c r="F103" s="8"/>
      <c r="G103" s="8"/>
      <c r="H103" s="3">
        <v>0.12</v>
      </c>
      <c r="I103">
        <f t="shared" si="1"/>
        <v>5.4545454545454522E-2</v>
      </c>
    </row>
    <row r="104" spans="1:19">
      <c r="A104" s="2" t="s">
        <v>199</v>
      </c>
      <c r="B104" s="3" t="s">
        <v>200</v>
      </c>
      <c r="C104" s="8" t="s">
        <v>451</v>
      </c>
      <c r="D104" s="8" t="s">
        <v>13</v>
      </c>
      <c r="E104" s="8"/>
      <c r="F104" s="3" t="s">
        <v>14</v>
      </c>
      <c r="G104" s="8">
        <v>1</v>
      </c>
      <c r="H104" s="3">
        <v>5.1999999999999998E-2</v>
      </c>
      <c r="I104">
        <f t="shared" si="1"/>
        <v>-9.4414019715224548E-2</v>
      </c>
    </row>
    <row r="105" spans="1:19">
      <c r="A105" s="2" t="s">
        <v>201</v>
      </c>
      <c r="B105" s="3" t="s">
        <v>202</v>
      </c>
      <c r="C105" s="8" t="s">
        <v>451</v>
      </c>
      <c r="D105" s="8" t="s">
        <v>13</v>
      </c>
      <c r="E105" s="8"/>
      <c r="F105" s="3" t="s">
        <v>14</v>
      </c>
      <c r="G105" s="8">
        <v>2</v>
      </c>
      <c r="H105" s="3">
        <v>5.2999999999999999E-2</v>
      </c>
      <c r="I105">
        <f t="shared" si="1"/>
        <v>-9.2223439211391034E-2</v>
      </c>
    </row>
    <row r="106" spans="1:19">
      <c r="A106" s="2" t="s">
        <v>203</v>
      </c>
      <c r="B106" s="3" t="s">
        <v>204</v>
      </c>
      <c r="C106" s="8" t="s">
        <v>451</v>
      </c>
      <c r="D106" s="8" t="s">
        <v>13</v>
      </c>
      <c r="E106" s="8"/>
      <c r="F106" s="3" t="s">
        <v>14</v>
      </c>
      <c r="G106" s="8">
        <v>3</v>
      </c>
      <c r="H106" s="3">
        <v>0.05</v>
      </c>
      <c r="I106">
        <f t="shared" si="1"/>
        <v>-9.8795180722891562E-2</v>
      </c>
    </row>
    <row r="107" spans="1:19">
      <c r="A107" s="2" t="s">
        <v>205</v>
      </c>
      <c r="B107" s="3" t="s">
        <v>206</v>
      </c>
      <c r="C107" s="8" t="s">
        <v>451</v>
      </c>
      <c r="D107" s="8" t="s">
        <v>21</v>
      </c>
      <c r="E107" s="8"/>
      <c r="F107" s="3" t="s">
        <v>22</v>
      </c>
      <c r="G107" s="8">
        <v>1</v>
      </c>
      <c r="H107" s="3">
        <v>0.23899999999999999</v>
      </c>
      <c r="I107">
        <f t="shared" si="1"/>
        <v>0.31522453450164284</v>
      </c>
    </row>
    <row r="108" spans="1:19">
      <c r="A108" s="2" t="s">
        <v>207</v>
      </c>
      <c r="B108" s="3" t="s">
        <v>208</v>
      </c>
      <c r="C108" s="8" t="s">
        <v>451</v>
      </c>
      <c r="D108" s="8" t="s">
        <v>21</v>
      </c>
      <c r="E108" s="8"/>
      <c r="F108" s="3" t="s">
        <v>22</v>
      </c>
      <c r="G108" s="8">
        <v>2</v>
      </c>
      <c r="H108" s="3">
        <v>0.24199999999999999</v>
      </c>
      <c r="I108">
        <f t="shared" si="1"/>
        <v>0.32179627601314342</v>
      </c>
    </row>
    <row r="109" spans="1:19">
      <c r="A109" s="2" t="s">
        <v>209</v>
      </c>
      <c r="B109" s="3" t="s">
        <v>210</v>
      </c>
      <c r="C109" s="8" t="s">
        <v>451</v>
      </c>
      <c r="D109" s="8" t="s">
        <v>21</v>
      </c>
      <c r="E109" s="8"/>
      <c r="F109" s="3" t="s">
        <v>22</v>
      </c>
      <c r="G109" s="8">
        <v>3</v>
      </c>
      <c r="H109" s="3">
        <v>0.185</v>
      </c>
      <c r="I109">
        <f t="shared" si="1"/>
        <v>0.19693318729463305</v>
      </c>
    </row>
    <row r="110" spans="1:19">
      <c r="A110" s="2" t="s">
        <v>211</v>
      </c>
      <c r="B110" s="3" t="s">
        <v>212</v>
      </c>
      <c r="C110" s="8" t="s">
        <v>451</v>
      </c>
      <c r="D110" s="8" t="s">
        <v>29</v>
      </c>
      <c r="E110" s="2"/>
      <c r="F110" s="3" t="s">
        <v>30</v>
      </c>
      <c r="G110" s="8">
        <v>1</v>
      </c>
      <c r="H110" s="3">
        <v>7.0999999999999994E-2</v>
      </c>
      <c r="I110">
        <f t="shared" si="1"/>
        <v>-5.2792990142387752E-2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>
      <c r="A111" s="2" t="s">
        <v>213</v>
      </c>
      <c r="B111" s="3" t="s">
        <v>214</v>
      </c>
      <c r="C111" s="8" t="s">
        <v>451</v>
      </c>
      <c r="D111" s="8" t="s">
        <v>29</v>
      </c>
      <c r="E111" s="2"/>
      <c r="F111" s="3" t="s">
        <v>30</v>
      </c>
      <c r="G111" s="8">
        <v>2</v>
      </c>
      <c r="H111" s="3">
        <v>7.9000000000000001E-2</v>
      </c>
      <c r="I111">
        <f t="shared" si="1"/>
        <v>-3.5268346111719612E-2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</row>
    <row r="112" spans="1:19">
      <c r="A112" s="2" t="s">
        <v>215</v>
      </c>
      <c r="B112" s="3" t="s">
        <v>216</v>
      </c>
      <c r="C112" s="8" t="s">
        <v>451</v>
      </c>
      <c r="D112" s="8" t="s">
        <v>29</v>
      </c>
      <c r="E112" s="2"/>
      <c r="F112" s="3" t="s">
        <v>30</v>
      </c>
      <c r="G112" s="8">
        <v>3</v>
      </c>
      <c r="H112" s="3">
        <v>9.4E-2</v>
      </c>
      <c r="I112">
        <f t="shared" si="1"/>
        <v>-2.4096385542168755E-3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</row>
    <row r="113" spans="1:19">
      <c r="A113" s="2" t="s">
        <v>217</v>
      </c>
      <c r="B113" s="3" t="s">
        <v>218</v>
      </c>
      <c r="C113" s="8" t="s">
        <v>451</v>
      </c>
      <c r="D113" s="8" t="s">
        <v>37</v>
      </c>
      <c r="E113" s="2"/>
      <c r="F113" s="3" t="s">
        <v>38</v>
      </c>
      <c r="G113" s="8">
        <v>1</v>
      </c>
      <c r="H113" s="3">
        <v>0.51200000000000001</v>
      </c>
      <c r="I113">
        <f t="shared" si="1"/>
        <v>0.91325301204819276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</row>
    <row r="114" spans="1:19">
      <c r="A114" s="2" t="s">
        <v>219</v>
      </c>
      <c r="B114" s="3" t="s">
        <v>220</v>
      </c>
      <c r="C114" s="8" t="s">
        <v>451</v>
      </c>
      <c r="D114" s="8" t="s">
        <v>37</v>
      </c>
      <c r="E114" s="2"/>
      <c r="F114" s="3" t="s">
        <v>38</v>
      </c>
      <c r="G114" s="8">
        <v>2</v>
      </c>
      <c r="H114" s="3">
        <v>0.56799999999999995</v>
      </c>
      <c r="I114">
        <f t="shared" si="1"/>
        <v>1.0359255202628694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</row>
    <row r="115" spans="1:19">
      <c r="A115" s="2" t="s">
        <v>221</v>
      </c>
      <c r="B115" s="3" t="s">
        <v>222</v>
      </c>
      <c r="C115" s="8" t="s">
        <v>451</v>
      </c>
      <c r="D115" s="8" t="s">
        <v>37</v>
      </c>
      <c r="E115" s="2"/>
      <c r="F115" s="3" t="s">
        <v>38</v>
      </c>
      <c r="G115" s="8">
        <v>3</v>
      </c>
      <c r="H115" s="3">
        <v>0.47599999999999998</v>
      </c>
      <c r="I115">
        <f t="shared" si="1"/>
        <v>0.83439211391018608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</row>
    <row r="116" spans="1:19">
      <c r="A116" s="2" t="s">
        <v>223</v>
      </c>
      <c r="B116" s="3" t="s">
        <v>224</v>
      </c>
      <c r="C116" s="8" t="s">
        <v>451</v>
      </c>
      <c r="D116" s="8" t="s">
        <v>45</v>
      </c>
      <c r="E116" s="2"/>
      <c r="F116" s="3" t="s">
        <v>46</v>
      </c>
      <c r="G116" s="8">
        <v>1</v>
      </c>
      <c r="H116" s="3">
        <v>0.124</v>
      </c>
      <c r="I116">
        <f t="shared" si="1"/>
        <v>6.3307776560788592E-2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</row>
    <row r="117" spans="1:19">
      <c r="A117" s="2" t="s">
        <v>225</v>
      </c>
      <c r="B117" s="3" t="s">
        <v>226</v>
      </c>
      <c r="C117" s="8" t="s">
        <v>451</v>
      </c>
      <c r="D117" s="8" t="s">
        <v>45</v>
      </c>
      <c r="E117" s="2"/>
      <c r="F117" s="3" t="s">
        <v>46</v>
      </c>
      <c r="G117" s="8">
        <v>2</v>
      </c>
      <c r="H117" s="3">
        <v>0.17899999999999999</v>
      </c>
      <c r="I117">
        <f t="shared" si="1"/>
        <v>0.18378970427163194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</row>
    <row r="118" spans="1:19">
      <c r="A118" s="2" t="s">
        <v>227</v>
      </c>
      <c r="B118" s="3" t="s">
        <v>228</v>
      </c>
      <c r="C118" s="8" t="s">
        <v>451</v>
      </c>
      <c r="D118" s="8" t="s">
        <v>45</v>
      </c>
      <c r="E118" s="2"/>
      <c r="F118" s="3" t="s">
        <v>46</v>
      </c>
      <c r="G118" s="8">
        <v>3</v>
      </c>
      <c r="H118" s="3">
        <v>0.193</v>
      </c>
      <c r="I118">
        <f t="shared" si="1"/>
        <v>0.21445783132530119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</row>
    <row r="119" spans="1:19">
      <c r="A119" s="2" t="s">
        <v>229</v>
      </c>
      <c r="B119" s="3" t="s">
        <v>230</v>
      </c>
      <c r="C119" s="8" t="s">
        <v>452</v>
      </c>
      <c r="D119" s="8" t="s">
        <v>13</v>
      </c>
      <c r="E119" s="8"/>
      <c r="F119" s="3" t="s">
        <v>14</v>
      </c>
      <c r="G119" s="8">
        <v>1</v>
      </c>
      <c r="H119" s="3">
        <v>5.1999999999999998E-2</v>
      </c>
      <c r="I119">
        <f t="shared" si="1"/>
        <v>-9.4414019715224548E-2</v>
      </c>
    </row>
    <row r="120" spans="1:19">
      <c r="A120" s="2" t="s">
        <v>231</v>
      </c>
      <c r="B120" s="3" t="s">
        <v>232</v>
      </c>
      <c r="C120" s="8" t="s">
        <v>452</v>
      </c>
      <c r="D120" s="8" t="s">
        <v>13</v>
      </c>
      <c r="E120" s="8"/>
      <c r="F120" s="3" t="s">
        <v>14</v>
      </c>
      <c r="G120" s="8">
        <v>2</v>
      </c>
      <c r="H120" s="3">
        <v>5.0999999999999997E-2</v>
      </c>
      <c r="I120">
        <f t="shared" si="1"/>
        <v>-9.6604600219058062E-2</v>
      </c>
    </row>
    <row r="121" spans="1:19">
      <c r="A121" s="2" t="s">
        <v>233</v>
      </c>
      <c r="B121" s="3" t="s">
        <v>234</v>
      </c>
      <c r="C121" s="8" t="s">
        <v>452</v>
      </c>
      <c r="D121" s="8" t="s">
        <v>13</v>
      </c>
      <c r="E121" s="8"/>
      <c r="F121" s="3" t="s">
        <v>14</v>
      </c>
      <c r="G121" s="8">
        <v>3</v>
      </c>
      <c r="H121" s="3">
        <v>0.05</v>
      </c>
      <c r="I121">
        <f t="shared" si="1"/>
        <v>-9.8795180722891562E-2</v>
      </c>
    </row>
    <row r="122" spans="1:19">
      <c r="A122" s="2" t="s">
        <v>235</v>
      </c>
      <c r="B122" s="3" t="s">
        <v>236</v>
      </c>
      <c r="C122" s="8" t="s">
        <v>452</v>
      </c>
      <c r="D122" s="8" t="s">
        <v>21</v>
      </c>
      <c r="E122" s="8"/>
      <c r="F122" s="3" t="s">
        <v>22</v>
      </c>
      <c r="G122" s="8">
        <v>1</v>
      </c>
      <c r="H122" s="3">
        <v>0.218</v>
      </c>
      <c r="I122">
        <f t="shared" si="1"/>
        <v>0.26922234392113908</v>
      </c>
    </row>
    <row r="123" spans="1:19">
      <c r="A123" s="2" t="s">
        <v>237</v>
      </c>
      <c r="B123" s="3" t="s">
        <v>238</v>
      </c>
      <c r="C123" s="8" t="s">
        <v>452</v>
      </c>
      <c r="D123" s="8" t="s">
        <v>21</v>
      </c>
      <c r="E123" s="8"/>
      <c r="F123" s="3" t="s">
        <v>22</v>
      </c>
      <c r="G123" s="8">
        <v>2</v>
      </c>
      <c r="H123" s="3">
        <v>0.16500000000000001</v>
      </c>
      <c r="I123">
        <f t="shared" si="1"/>
        <v>0.15312157721796277</v>
      </c>
    </row>
    <row r="124" spans="1:19">
      <c r="A124" s="2" t="s">
        <v>239</v>
      </c>
      <c r="B124" s="3" t="s">
        <v>240</v>
      </c>
      <c r="C124" s="8" t="s">
        <v>452</v>
      </c>
      <c r="D124" s="8" t="s">
        <v>21</v>
      </c>
      <c r="E124" s="8"/>
      <c r="F124" s="3" t="s">
        <v>22</v>
      </c>
      <c r="G124" s="8">
        <v>3</v>
      </c>
      <c r="H124" s="3">
        <v>0.14199999999999999</v>
      </c>
      <c r="I124">
        <f t="shared" si="1"/>
        <v>0.10273822562979186</v>
      </c>
    </row>
    <row r="125" spans="1:19">
      <c r="A125" s="2" t="s">
        <v>241</v>
      </c>
      <c r="B125" s="3" t="s">
        <v>242</v>
      </c>
      <c r="C125" s="8" t="s">
        <v>452</v>
      </c>
      <c r="D125" s="8" t="s">
        <v>29</v>
      </c>
      <c r="E125" s="8"/>
      <c r="F125" s="3" t="s">
        <v>30</v>
      </c>
      <c r="G125" s="8">
        <v>1</v>
      </c>
      <c r="H125" s="3">
        <v>7.9000000000000001E-2</v>
      </c>
      <c r="I125">
        <f t="shared" si="1"/>
        <v>-3.5268346111719612E-2</v>
      </c>
    </row>
    <row r="126" spans="1:19">
      <c r="A126" s="2" t="s">
        <v>243</v>
      </c>
      <c r="B126" s="3" t="s">
        <v>244</v>
      </c>
      <c r="C126" s="8" t="s">
        <v>452</v>
      </c>
      <c r="D126" s="8" t="s">
        <v>29</v>
      </c>
      <c r="E126" s="8"/>
      <c r="F126" s="3" t="s">
        <v>30</v>
      </c>
      <c r="G126" s="8">
        <v>2</v>
      </c>
      <c r="H126" s="3">
        <v>7.4999999999999997E-2</v>
      </c>
      <c r="I126">
        <f t="shared" si="1"/>
        <v>-4.4030668127053682E-2</v>
      </c>
    </row>
    <row r="127" spans="1:19">
      <c r="A127" s="2" t="s">
        <v>245</v>
      </c>
      <c r="B127" s="3" t="s">
        <v>246</v>
      </c>
      <c r="C127" s="8" t="s">
        <v>452</v>
      </c>
      <c r="D127" s="8" t="s">
        <v>29</v>
      </c>
      <c r="E127" s="8"/>
      <c r="F127" s="3" t="s">
        <v>30</v>
      </c>
      <c r="G127" s="8">
        <v>3</v>
      </c>
      <c r="H127" s="3">
        <v>0.104</v>
      </c>
      <c r="I127">
        <f t="shared" si="1"/>
        <v>1.9496166484118272E-2</v>
      </c>
    </row>
    <row r="128" spans="1:19">
      <c r="A128" s="2" t="s">
        <v>247</v>
      </c>
      <c r="B128" s="3" t="s">
        <v>248</v>
      </c>
      <c r="C128" s="8" t="s">
        <v>452</v>
      </c>
      <c r="D128" s="8" t="s">
        <v>37</v>
      </c>
      <c r="E128" s="8"/>
      <c r="F128" s="3" t="s">
        <v>38</v>
      </c>
      <c r="G128" s="8">
        <v>1</v>
      </c>
      <c r="H128" s="3">
        <v>0.625</v>
      </c>
      <c r="I128">
        <f t="shared" si="1"/>
        <v>1.1607886089813801</v>
      </c>
    </row>
    <row r="129" spans="1:9">
      <c r="A129" s="2" t="s">
        <v>249</v>
      </c>
      <c r="B129" s="3" t="s">
        <v>250</v>
      </c>
      <c r="C129" s="8" t="s">
        <v>452</v>
      </c>
      <c r="D129" s="8" t="s">
        <v>37</v>
      </c>
      <c r="E129" s="8"/>
      <c r="F129" s="3" t="s">
        <v>38</v>
      </c>
      <c r="G129" s="8">
        <v>2</v>
      </c>
      <c r="H129" s="3">
        <v>0.59499999999999997</v>
      </c>
      <c r="I129">
        <f t="shared" si="1"/>
        <v>1.0950711938663744</v>
      </c>
    </row>
    <row r="130" spans="1:9">
      <c r="A130" s="2" t="s">
        <v>251</v>
      </c>
      <c r="B130" s="3" t="s">
        <v>252</v>
      </c>
      <c r="C130" s="8" t="s">
        <v>452</v>
      </c>
      <c r="D130" s="8" t="s">
        <v>37</v>
      </c>
      <c r="E130" s="8"/>
      <c r="F130" s="3" t="s">
        <v>38</v>
      </c>
      <c r="G130" s="8">
        <v>3</v>
      </c>
      <c r="H130" s="3">
        <v>0.47099999999999997</v>
      </c>
      <c r="I130">
        <f t="shared" si="1"/>
        <v>0.8234392113910185</v>
      </c>
    </row>
    <row r="131" spans="1:9">
      <c r="A131" s="2" t="s">
        <v>253</v>
      </c>
      <c r="B131" s="3" t="s">
        <v>254</v>
      </c>
      <c r="C131" s="8" t="s">
        <v>452</v>
      </c>
      <c r="D131" s="8" t="s">
        <v>45</v>
      </c>
      <c r="E131" s="8"/>
      <c r="F131" s="3" t="s">
        <v>46</v>
      </c>
      <c r="G131" s="8">
        <v>1</v>
      </c>
      <c r="H131" s="3">
        <v>0.17199999999999999</v>
      </c>
      <c r="I131">
        <f t="shared" ref="I131:I194" si="2">(H131-0.0951)/0.4565</f>
        <v>0.16845564074479732</v>
      </c>
    </row>
    <row r="132" spans="1:9">
      <c r="A132" s="2" t="s">
        <v>255</v>
      </c>
      <c r="B132" s="3" t="s">
        <v>256</v>
      </c>
      <c r="C132" s="8" t="s">
        <v>452</v>
      </c>
      <c r="D132" s="8" t="s">
        <v>45</v>
      </c>
      <c r="E132" s="8"/>
      <c r="F132" s="3" t="s">
        <v>46</v>
      </c>
      <c r="G132" s="8">
        <v>2</v>
      </c>
      <c r="H132" s="3">
        <v>0.13800000000000001</v>
      </c>
      <c r="I132">
        <f t="shared" si="2"/>
        <v>9.3975903614457845E-2</v>
      </c>
    </row>
    <row r="133" spans="1:9">
      <c r="A133" s="2" t="s">
        <v>257</v>
      </c>
      <c r="B133" s="3" t="s">
        <v>258</v>
      </c>
      <c r="C133" s="8" t="s">
        <v>452</v>
      </c>
      <c r="D133" s="8" t="s">
        <v>45</v>
      </c>
      <c r="E133" s="8"/>
      <c r="F133" s="3" t="s">
        <v>46</v>
      </c>
      <c r="G133" s="8">
        <v>3</v>
      </c>
      <c r="H133" s="3">
        <v>0.16200000000000001</v>
      </c>
      <c r="I133">
        <f t="shared" si="2"/>
        <v>0.14654983570646221</v>
      </c>
    </row>
    <row r="134" spans="1:9">
      <c r="A134" s="2" t="s">
        <v>259</v>
      </c>
      <c r="B134" s="3" t="s">
        <v>260</v>
      </c>
      <c r="C134" s="8" t="s">
        <v>453</v>
      </c>
      <c r="D134" s="8" t="s">
        <v>13</v>
      </c>
      <c r="E134" s="8"/>
      <c r="F134" s="3" t="s">
        <v>14</v>
      </c>
      <c r="G134" s="8">
        <v>1</v>
      </c>
      <c r="H134" s="3">
        <v>5.6000000000000001E-2</v>
      </c>
      <c r="I134">
        <f t="shared" si="2"/>
        <v>-8.5651697699890478E-2</v>
      </c>
    </row>
    <row r="135" spans="1:9">
      <c r="A135" s="2" t="s">
        <v>261</v>
      </c>
      <c r="B135" s="3" t="s">
        <v>262</v>
      </c>
      <c r="C135" s="8" t="s">
        <v>453</v>
      </c>
      <c r="D135" s="8" t="s">
        <v>13</v>
      </c>
      <c r="E135" s="8"/>
      <c r="F135" s="3" t="s">
        <v>14</v>
      </c>
      <c r="G135" s="8">
        <v>2</v>
      </c>
      <c r="H135" s="3">
        <v>5.6000000000000001E-2</v>
      </c>
      <c r="I135">
        <f t="shared" si="2"/>
        <v>-8.5651697699890478E-2</v>
      </c>
    </row>
    <row r="136" spans="1:9">
      <c r="A136" s="2" t="s">
        <v>263</v>
      </c>
      <c r="B136" s="3" t="s">
        <v>264</v>
      </c>
      <c r="C136" s="8" t="s">
        <v>453</v>
      </c>
      <c r="D136" s="8" t="s">
        <v>13</v>
      </c>
      <c r="E136" s="8"/>
      <c r="F136" s="3" t="s">
        <v>14</v>
      </c>
      <c r="G136" s="8">
        <v>3</v>
      </c>
      <c r="H136" s="3">
        <v>5.1999999999999998E-2</v>
      </c>
      <c r="I136">
        <f t="shared" si="2"/>
        <v>-9.4414019715224548E-2</v>
      </c>
    </row>
    <row r="137" spans="1:9">
      <c r="A137" s="2" t="s">
        <v>265</v>
      </c>
      <c r="B137" s="3" t="s">
        <v>266</v>
      </c>
      <c r="C137" s="8" t="s">
        <v>453</v>
      </c>
      <c r="D137" s="8" t="s">
        <v>21</v>
      </c>
      <c r="E137" s="8"/>
      <c r="F137" s="3" t="s">
        <v>22</v>
      </c>
      <c r="G137" s="8">
        <v>1</v>
      </c>
      <c r="H137" s="3">
        <v>0.14799999999999999</v>
      </c>
      <c r="I137">
        <f t="shared" si="2"/>
        <v>0.11588170865279296</v>
      </c>
    </row>
    <row r="138" spans="1:9">
      <c r="A138" s="2" t="s">
        <v>267</v>
      </c>
      <c r="B138" s="3" t="s">
        <v>268</v>
      </c>
      <c r="C138" s="8" t="s">
        <v>453</v>
      </c>
      <c r="D138" s="8" t="s">
        <v>21</v>
      </c>
      <c r="E138" s="8"/>
      <c r="F138" s="3" t="s">
        <v>22</v>
      </c>
      <c r="G138" s="8">
        <v>2</v>
      </c>
      <c r="H138" s="3">
        <v>0.193</v>
      </c>
      <c r="I138">
        <f t="shared" si="2"/>
        <v>0.21445783132530119</v>
      </c>
    </row>
    <row r="139" spans="1:9">
      <c r="A139" s="2" t="s">
        <v>269</v>
      </c>
      <c r="B139" s="3" t="s">
        <v>270</v>
      </c>
      <c r="C139" s="8" t="s">
        <v>453</v>
      </c>
      <c r="D139" s="8" t="s">
        <v>21</v>
      </c>
      <c r="E139" s="8"/>
      <c r="F139" s="3" t="s">
        <v>22</v>
      </c>
      <c r="G139" s="8">
        <v>3</v>
      </c>
      <c r="H139" s="3">
        <v>0.23300000000000001</v>
      </c>
      <c r="I139">
        <f t="shared" si="2"/>
        <v>0.30208105147864189</v>
      </c>
    </row>
    <row r="140" spans="1:9">
      <c r="A140" s="2" t="s">
        <v>271</v>
      </c>
      <c r="B140" s="3" t="s">
        <v>272</v>
      </c>
      <c r="C140" s="8" t="s">
        <v>453</v>
      </c>
      <c r="D140" s="8" t="s">
        <v>29</v>
      </c>
      <c r="E140" s="8"/>
      <c r="F140" s="3" t="s">
        <v>30</v>
      </c>
      <c r="G140" s="8">
        <v>1</v>
      </c>
      <c r="H140" s="3">
        <v>8.1000000000000003E-2</v>
      </c>
      <c r="I140">
        <f t="shared" si="2"/>
        <v>-3.0887185104052577E-2</v>
      </c>
    </row>
    <row r="141" spans="1:9">
      <c r="A141" s="2" t="s">
        <v>273</v>
      </c>
      <c r="B141" s="3" t="s">
        <v>274</v>
      </c>
      <c r="C141" s="8" t="s">
        <v>453</v>
      </c>
      <c r="D141" s="8" t="s">
        <v>29</v>
      </c>
      <c r="E141" s="8"/>
      <c r="F141" s="3" t="s">
        <v>30</v>
      </c>
      <c r="G141" s="8">
        <v>2</v>
      </c>
      <c r="H141" s="3">
        <v>7.1999999999999995E-2</v>
      </c>
      <c r="I141">
        <f t="shared" si="2"/>
        <v>-5.0602409638554238E-2</v>
      </c>
    </row>
    <row r="142" spans="1:9">
      <c r="A142" s="2" t="s">
        <v>275</v>
      </c>
      <c r="B142" s="3" t="s">
        <v>276</v>
      </c>
      <c r="C142" s="8" t="s">
        <v>453</v>
      </c>
      <c r="D142" s="8" t="s">
        <v>29</v>
      </c>
      <c r="E142" s="8"/>
      <c r="F142" s="3" t="s">
        <v>30</v>
      </c>
      <c r="G142" s="8">
        <v>3</v>
      </c>
      <c r="H142" s="3">
        <v>8.6999999999999994E-2</v>
      </c>
      <c r="I142">
        <f t="shared" si="2"/>
        <v>-1.7743702081051499E-2</v>
      </c>
    </row>
    <row r="143" spans="1:9">
      <c r="A143" s="2" t="s">
        <v>277</v>
      </c>
      <c r="B143" s="3" t="s">
        <v>278</v>
      </c>
      <c r="C143" s="8" t="s">
        <v>453</v>
      </c>
      <c r="D143" s="8" t="s">
        <v>37</v>
      </c>
      <c r="E143" s="8"/>
      <c r="F143" s="3" t="s">
        <v>38</v>
      </c>
      <c r="G143" s="8">
        <v>1</v>
      </c>
      <c r="H143" s="3">
        <v>0.65200000000000002</v>
      </c>
      <c r="I143">
        <f t="shared" si="2"/>
        <v>1.2199342825848851</v>
      </c>
    </row>
    <row r="144" spans="1:9">
      <c r="A144" s="2" t="s">
        <v>279</v>
      </c>
      <c r="B144" s="3" t="s">
        <v>280</v>
      </c>
      <c r="C144" s="8" t="s">
        <v>453</v>
      </c>
      <c r="D144" s="8" t="s">
        <v>37</v>
      </c>
      <c r="E144" s="8"/>
      <c r="F144" s="3" t="s">
        <v>38</v>
      </c>
      <c r="G144" s="8">
        <v>2</v>
      </c>
      <c r="H144" s="3">
        <v>0.68300000000000005</v>
      </c>
      <c r="I144">
        <f t="shared" si="2"/>
        <v>1.2878422782037242</v>
      </c>
    </row>
    <row r="145" spans="1:9">
      <c r="A145" s="2" t="s">
        <v>281</v>
      </c>
      <c r="B145" s="3" t="s">
        <v>282</v>
      </c>
      <c r="C145" s="8" t="s">
        <v>453</v>
      </c>
      <c r="D145" s="8" t="s">
        <v>37</v>
      </c>
      <c r="E145" s="8"/>
      <c r="F145" s="3" t="s">
        <v>38</v>
      </c>
      <c r="G145" s="8">
        <v>3</v>
      </c>
      <c r="H145" s="3">
        <v>0.44400000000000001</v>
      </c>
      <c r="I145">
        <f t="shared" si="2"/>
        <v>0.76429353778751363</v>
      </c>
    </row>
    <row r="146" spans="1:9">
      <c r="A146" s="2" t="s">
        <v>283</v>
      </c>
      <c r="B146" s="3" t="s">
        <v>284</v>
      </c>
      <c r="C146" s="8" t="s">
        <v>453</v>
      </c>
      <c r="D146" s="8" t="s">
        <v>45</v>
      </c>
      <c r="E146" s="8"/>
      <c r="F146" s="3" t="s">
        <v>46</v>
      </c>
      <c r="G146" s="8">
        <v>1</v>
      </c>
      <c r="H146" s="3">
        <v>0.121</v>
      </c>
      <c r="I146">
        <f t="shared" si="2"/>
        <v>5.6736035049288043E-2</v>
      </c>
    </row>
    <row r="147" spans="1:9">
      <c r="A147" s="2" t="s">
        <v>285</v>
      </c>
      <c r="B147" s="3" t="s">
        <v>286</v>
      </c>
      <c r="C147" s="8" t="s">
        <v>453</v>
      </c>
      <c r="D147" s="8" t="s">
        <v>45</v>
      </c>
      <c r="E147" s="8"/>
      <c r="F147" s="3" t="s">
        <v>46</v>
      </c>
      <c r="G147" s="8">
        <v>2</v>
      </c>
      <c r="H147" s="3">
        <v>0.11899999999999999</v>
      </c>
      <c r="I147">
        <f t="shared" si="2"/>
        <v>5.2354874041621008E-2</v>
      </c>
    </row>
    <row r="148" spans="1:9">
      <c r="A148" s="2" t="s">
        <v>287</v>
      </c>
      <c r="B148" s="3" t="s">
        <v>288</v>
      </c>
      <c r="C148" s="8" t="s">
        <v>453</v>
      </c>
      <c r="D148" s="8" t="s">
        <v>45</v>
      </c>
      <c r="E148" s="8"/>
      <c r="F148" s="3" t="s">
        <v>46</v>
      </c>
      <c r="G148" s="8">
        <v>3</v>
      </c>
      <c r="H148" s="3">
        <v>0.125</v>
      </c>
      <c r="I148">
        <f t="shared" si="2"/>
        <v>6.549835706462212E-2</v>
      </c>
    </row>
    <row r="149" spans="1:9">
      <c r="A149" s="2" t="s">
        <v>289</v>
      </c>
      <c r="B149" s="3" t="s">
        <v>290</v>
      </c>
      <c r="C149" s="8" t="s">
        <v>454</v>
      </c>
      <c r="D149" s="8" t="s">
        <v>13</v>
      </c>
      <c r="E149" s="8"/>
      <c r="F149" s="3" t="s">
        <v>14</v>
      </c>
      <c r="G149" s="8">
        <v>1</v>
      </c>
      <c r="H149" s="3">
        <v>5.5E-2</v>
      </c>
      <c r="I149">
        <f t="shared" si="2"/>
        <v>-8.7842278203723992E-2</v>
      </c>
    </row>
    <row r="150" spans="1:9">
      <c r="A150" s="2" t="s">
        <v>291</v>
      </c>
      <c r="B150" s="3" t="s">
        <v>292</v>
      </c>
      <c r="C150" s="8" t="s">
        <v>454</v>
      </c>
      <c r="D150" s="8" t="s">
        <v>13</v>
      </c>
      <c r="E150" s="8"/>
      <c r="F150" s="3" t="s">
        <v>14</v>
      </c>
      <c r="G150" s="8">
        <v>2</v>
      </c>
      <c r="H150" s="3">
        <v>5.3999999999999999E-2</v>
      </c>
      <c r="I150">
        <f t="shared" si="2"/>
        <v>-9.0032858707557506E-2</v>
      </c>
    </row>
    <row r="151" spans="1:9">
      <c r="A151" s="2" t="s">
        <v>293</v>
      </c>
      <c r="B151" s="3" t="s">
        <v>294</v>
      </c>
      <c r="C151" s="8" t="s">
        <v>454</v>
      </c>
      <c r="D151" s="8" t="s">
        <v>13</v>
      </c>
      <c r="E151" s="8"/>
      <c r="F151" s="3" t="s">
        <v>14</v>
      </c>
      <c r="G151" s="8">
        <v>3</v>
      </c>
      <c r="H151" s="3">
        <v>5.2999999999999999E-2</v>
      </c>
      <c r="I151">
        <f t="shared" si="2"/>
        <v>-9.2223439211391034E-2</v>
      </c>
    </row>
    <row r="152" spans="1:9">
      <c r="A152" s="2" t="s">
        <v>295</v>
      </c>
      <c r="B152" s="3" t="s">
        <v>296</v>
      </c>
      <c r="C152" s="8" t="s">
        <v>454</v>
      </c>
      <c r="D152" s="8" t="s">
        <v>21</v>
      </c>
      <c r="E152" s="8"/>
      <c r="F152" s="3" t="s">
        <v>22</v>
      </c>
      <c r="G152" s="8">
        <v>1</v>
      </c>
      <c r="H152" s="3">
        <v>0.121</v>
      </c>
      <c r="I152">
        <f t="shared" si="2"/>
        <v>5.6736035049288043E-2</v>
      </c>
    </row>
    <row r="153" spans="1:9">
      <c r="A153" s="2" t="s">
        <v>297</v>
      </c>
      <c r="B153" s="3" t="s">
        <v>298</v>
      </c>
      <c r="C153" s="8" t="s">
        <v>454</v>
      </c>
      <c r="D153" s="8" t="s">
        <v>21</v>
      </c>
      <c r="E153" s="8"/>
      <c r="F153" s="3" t="s">
        <v>22</v>
      </c>
      <c r="G153" s="8">
        <v>2</v>
      </c>
      <c r="H153" s="3">
        <v>0.11899999999999999</v>
      </c>
      <c r="I153">
        <f t="shared" si="2"/>
        <v>5.2354874041621008E-2</v>
      </c>
    </row>
    <row r="154" spans="1:9">
      <c r="A154" s="2" t="s">
        <v>299</v>
      </c>
      <c r="B154" s="3" t="s">
        <v>300</v>
      </c>
      <c r="C154" s="8" t="s">
        <v>454</v>
      </c>
      <c r="D154" s="8" t="s">
        <v>21</v>
      </c>
      <c r="E154" s="8"/>
      <c r="F154" s="3" t="s">
        <v>22</v>
      </c>
      <c r="G154" s="8">
        <v>3</v>
      </c>
      <c r="H154" s="3">
        <v>0.11700000000000001</v>
      </c>
      <c r="I154">
        <f t="shared" si="2"/>
        <v>4.7973713033954E-2</v>
      </c>
    </row>
    <row r="155" spans="1:9">
      <c r="A155" s="2" t="s">
        <v>301</v>
      </c>
      <c r="B155" s="3" t="s">
        <v>302</v>
      </c>
      <c r="C155" s="8" t="s">
        <v>454</v>
      </c>
      <c r="D155" s="8" t="s">
        <v>29</v>
      </c>
      <c r="E155" s="8"/>
      <c r="F155" s="3" t="s">
        <v>30</v>
      </c>
      <c r="G155" s="8">
        <v>1</v>
      </c>
      <c r="H155" s="3">
        <v>6.3E-2</v>
      </c>
      <c r="I155">
        <f t="shared" si="2"/>
        <v>-7.0317634173055865E-2</v>
      </c>
    </row>
    <row r="156" spans="1:9">
      <c r="A156" s="2" t="s">
        <v>303</v>
      </c>
      <c r="B156" s="3" t="s">
        <v>304</v>
      </c>
      <c r="C156" s="8" t="s">
        <v>454</v>
      </c>
      <c r="D156" s="8" t="s">
        <v>29</v>
      </c>
      <c r="E156" s="8"/>
      <c r="F156" s="3" t="s">
        <v>30</v>
      </c>
      <c r="G156" s="8">
        <v>2</v>
      </c>
      <c r="H156" s="3">
        <v>6.7000000000000004E-2</v>
      </c>
      <c r="I156">
        <f t="shared" si="2"/>
        <v>-6.1555312157721795E-2</v>
      </c>
    </row>
    <row r="157" spans="1:9">
      <c r="A157" s="2" t="s">
        <v>305</v>
      </c>
      <c r="B157" s="3" t="s">
        <v>306</v>
      </c>
      <c r="C157" s="8" t="s">
        <v>454</v>
      </c>
      <c r="D157" s="8" t="s">
        <v>29</v>
      </c>
      <c r="E157" s="8"/>
      <c r="F157" s="3" t="s">
        <v>30</v>
      </c>
      <c r="G157" s="8">
        <v>3</v>
      </c>
      <c r="H157" s="3">
        <v>7.0999999999999994E-2</v>
      </c>
      <c r="I157">
        <f t="shared" si="2"/>
        <v>-5.2792990142387752E-2</v>
      </c>
    </row>
    <row r="158" spans="1:9">
      <c r="A158" s="2" t="s">
        <v>307</v>
      </c>
      <c r="B158" s="3" t="s">
        <v>308</v>
      </c>
      <c r="C158" s="8" t="s">
        <v>454</v>
      </c>
      <c r="D158" s="8" t="s">
        <v>37</v>
      </c>
      <c r="E158" s="8"/>
      <c r="F158" s="3" t="s">
        <v>38</v>
      </c>
      <c r="G158" s="8">
        <v>1</v>
      </c>
      <c r="H158" s="3">
        <v>0.64400000000000002</v>
      </c>
      <c r="I158">
        <f t="shared" si="2"/>
        <v>1.2024096385542169</v>
      </c>
    </row>
    <row r="159" spans="1:9">
      <c r="A159" s="2" t="s">
        <v>309</v>
      </c>
      <c r="B159" s="3" t="s">
        <v>310</v>
      </c>
      <c r="C159" s="8" t="s">
        <v>454</v>
      </c>
      <c r="D159" s="8" t="s">
        <v>37</v>
      </c>
      <c r="E159" s="8"/>
      <c r="F159" s="3" t="s">
        <v>38</v>
      </c>
      <c r="G159" s="8">
        <v>2</v>
      </c>
      <c r="H159" s="3">
        <v>0.76</v>
      </c>
      <c r="I159">
        <f t="shared" si="2"/>
        <v>1.4565169769989048</v>
      </c>
    </row>
    <row r="160" spans="1:9">
      <c r="A160" s="2" t="s">
        <v>311</v>
      </c>
      <c r="B160" s="3" t="s">
        <v>312</v>
      </c>
      <c r="C160" s="8" t="s">
        <v>454</v>
      </c>
      <c r="D160" s="8" t="s">
        <v>37</v>
      </c>
      <c r="E160" s="8"/>
      <c r="F160" s="3" t="s">
        <v>38</v>
      </c>
      <c r="G160" s="8">
        <v>3</v>
      </c>
      <c r="H160" s="3">
        <v>0.70799999999999996</v>
      </c>
      <c r="I160">
        <f t="shared" si="2"/>
        <v>1.3426067907995618</v>
      </c>
    </row>
    <row r="161" spans="1:9">
      <c r="A161" s="2" t="s">
        <v>313</v>
      </c>
      <c r="B161" s="3" t="s">
        <v>314</v>
      </c>
      <c r="C161" s="8" t="s">
        <v>454</v>
      </c>
      <c r="D161" s="8" t="s">
        <v>45</v>
      </c>
      <c r="E161" s="8"/>
      <c r="F161" s="3" t="s">
        <v>46</v>
      </c>
      <c r="G161" s="8">
        <v>1</v>
      </c>
      <c r="H161" s="3">
        <v>0.156</v>
      </c>
      <c r="I161">
        <f t="shared" si="2"/>
        <v>0.1334063526834611</v>
      </c>
    </row>
    <row r="162" spans="1:9">
      <c r="A162" s="2" t="s">
        <v>315</v>
      </c>
      <c r="B162" s="3" t="s">
        <v>316</v>
      </c>
      <c r="C162" s="8" t="s">
        <v>454</v>
      </c>
      <c r="D162" s="8" t="s">
        <v>45</v>
      </c>
      <c r="E162" s="8"/>
      <c r="F162" s="3" t="s">
        <v>46</v>
      </c>
      <c r="G162" s="8">
        <v>2</v>
      </c>
      <c r="H162" s="3">
        <v>0.13500000000000001</v>
      </c>
      <c r="I162">
        <f t="shared" si="2"/>
        <v>8.7404162102957289E-2</v>
      </c>
    </row>
    <row r="163" spans="1:9">
      <c r="A163" s="2" t="s">
        <v>317</v>
      </c>
      <c r="B163" s="3" t="s">
        <v>318</v>
      </c>
      <c r="C163" s="8" t="s">
        <v>454</v>
      </c>
      <c r="D163" s="8" t="s">
        <v>45</v>
      </c>
      <c r="E163" s="8"/>
      <c r="F163" s="3" t="s">
        <v>46</v>
      </c>
      <c r="G163" s="8">
        <v>3</v>
      </c>
      <c r="H163" s="3">
        <v>0.153</v>
      </c>
      <c r="I163">
        <f t="shared" si="2"/>
        <v>0.12683461117196054</v>
      </c>
    </row>
    <row r="164" spans="1:9">
      <c r="A164" s="2" t="s">
        <v>319</v>
      </c>
      <c r="B164" s="3" t="s">
        <v>320</v>
      </c>
      <c r="C164" s="8" t="s">
        <v>455</v>
      </c>
      <c r="D164" s="8" t="s">
        <v>13</v>
      </c>
      <c r="E164" s="8"/>
      <c r="F164" s="3" t="s">
        <v>14</v>
      </c>
      <c r="G164" s="8">
        <v>1</v>
      </c>
      <c r="H164" s="3">
        <v>6.5000000000000002E-2</v>
      </c>
      <c r="I164">
        <f t="shared" si="2"/>
        <v>-6.5936473165388823E-2</v>
      </c>
    </row>
    <row r="165" spans="1:9">
      <c r="A165" s="2" t="s">
        <v>321</v>
      </c>
      <c r="B165" s="3" t="s">
        <v>322</v>
      </c>
      <c r="C165" s="8" t="s">
        <v>455</v>
      </c>
      <c r="D165" s="8" t="s">
        <v>13</v>
      </c>
      <c r="E165" s="8"/>
      <c r="F165" s="3" t="s">
        <v>14</v>
      </c>
      <c r="G165" s="8">
        <v>2</v>
      </c>
      <c r="H165" s="3">
        <v>5.6000000000000001E-2</v>
      </c>
      <c r="I165">
        <f t="shared" si="2"/>
        <v>-8.5651697699890478E-2</v>
      </c>
    </row>
    <row r="166" spans="1:9">
      <c r="A166" s="2" t="s">
        <v>323</v>
      </c>
      <c r="B166" s="3" t="s">
        <v>324</v>
      </c>
      <c r="C166" s="8" t="s">
        <v>455</v>
      </c>
      <c r="D166" s="8" t="s">
        <v>13</v>
      </c>
      <c r="E166" s="8"/>
      <c r="F166" s="3" t="s">
        <v>14</v>
      </c>
      <c r="G166" s="8">
        <v>3</v>
      </c>
      <c r="H166" s="3">
        <v>5.8000000000000003E-2</v>
      </c>
      <c r="I166">
        <f t="shared" si="2"/>
        <v>-8.1270536692223436E-2</v>
      </c>
    </row>
    <row r="167" spans="1:9">
      <c r="A167" s="2" t="s">
        <v>325</v>
      </c>
      <c r="B167" s="3" t="s">
        <v>326</v>
      </c>
      <c r="C167" s="8" t="s">
        <v>455</v>
      </c>
      <c r="D167" s="8" t="s">
        <v>21</v>
      </c>
      <c r="E167" s="8"/>
      <c r="F167" s="3" t="s">
        <v>22</v>
      </c>
      <c r="G167" s="8">
        <v>1</v>
      </c>
      <c r="H167" s="3">
        <v>0.12</v>
      </c>
      <c r="I167">
        <f t="shared" si="2"/>
        <v>5.4545454545454522E-2</v>
      </c>
    </row>
    <row r="168" spans="1:9">
      <c r="A168" s="2" t="s">
        <v>327</v>
      </c>
      <c r="B168" s="3" t="s">
        <v>328</v>
      </c>
      <c r="C168" s="8" t="s">
        <v>455</v>
      </c>
      <c r="D168" s="8" t="s">
        <v>21</v>
      </c>
      <c r="E168" s="8"/>
      <c r="F168" s="3" t="s">
        <v>22</v>
      </c>
      <c r="G168" s="8">
        <v>2</v>
      </c>
      <c r="H168" s="3">
        <v>0.17599999999999999</v>
      </c>
      <c r="I168">
        <f t="shared" si="2"/>
        <v>0.17721796276013141</v>
      </c>
    </row>
    <row r="169" spans="1:9">
      <c r="A169" s="2" t="s">
        <v>329</v>
      </c>
      <c r="B169" s="3" t="s">
        <v>330</v>
      </c>
      <c r="C169" s="8" t="s">
        <v>455</v>
      </c>
      <c r="D169" s="8" t="s">
        <v>21</v>
      </c>
      <c r="E169" s="8"/>
      <c r="F169" s="3" t="s">
        <v>22</v>
      </c>
      <c r="G169" s="8">
        <v>3</v>
      </c>
      <c r="H169" s="3">
        <v>0.183</v>
      </c>
      <c r="I169">
        <f t="shared" si="2"/>
        <v>0.19255202628696602</v>
      </c>
    </row>
    <row r="170" spans="1:9">
      <c r="A170" s="2" t="s">
        <v>331</v>
      </c>
      <c r="B170" s="3" t="s">
        <v>332</v>
      </c>
      <c r="C170" s="8" t="s">
        <v>455</v>
      </c>
      <c r="D170" s="8" t="s">
        <v>29</v>
      </c>
      <c r="E170" s="8"/>
      <c r="F170" s="3" t="s">
        <v>30</v>
      </c>
      <c r="G170" s="8">
        <v>1</v>
      </c>
      <c r="H170" s="3">
        <v>7.1999999999999995E-2</v>
      </c>
      <c r="I170">
        <f t="shared" si="2"/>
        <v>-5.0602409638554238E-2</v>
      </c>
    </row>
    <row r="171" spans="1:9">
      <c r="A171" s="2" t="s">
        <v>333</v>
      </c>
      <c r="B171" s="3" t="s">
        <v>334</v>
      </c>
      <c r="C171" s="8" t="s">
        <v>455</v>
      </c>
      <c r="D171" s="8" t="s">
        <v>29</v>
      </c>
      <c r="E171" s="8"/>
      <c r="F171" s="3" t="s">
        <v>30</v>
      </c>
      <c r="G171" s="8">
        <v>2</v>
      </c>
      <c r="H171" s="3">
        <v>7.8E-2</v>
      </c>
      <c r="I171">
        <f t="shared" si="2"/>
        <v>-3.7458926615553126E-2</v>
      </c>
    </row>
    <row r="172" spans="1:9">
      <c r="A172" s="2" t="s">
        <v>335</v>
      </c>
      <c r="B172" s="3" t="s">
        <v>336</v>
      </c>
      <c r="C172" s="8" t="s">
        <v>455</v>
      </c>
      <c r="D172" s="8" t="s">
        <v>29</v>
      </c>
      <c r="E172" s="8"/>
      <c r="F172" s="3" t="s">
        <v>30</v>
      </c>
      <c r="G172" s="8">
        <v>3</v>
      </c>
      <c r="H172" s="3">
        <v>0.113</v>
      </c>
      <c r="I172">
        <f t="shared" si="2"/>
        <v>3.921139101861993E-2</v>
      </c>
    </row>
    <row r="173" spans="1:9">
      <c r="A173" s="2" t="s">
        <v>337</v>
      </c>
      <c r="B173" s="3" t="s">
        <v>338</v>
      </c>
      <c r="C173" s="8" t="s">
        <v>455</v>
      </c>
      <c r="D173" s="8" t="s">
        <v>37</v>
      </c>
      <c r="E173" s="8"/>
      <c r="F173" s="3" t="s">
        <v>38</v>
      </c>
      <c r="G173" s="8">
        <v>1</v>
      </c>
      <c r="H173" s="3">
        <v>0.30599999999999999</v>
      </c>
      <c r="I173">
        <f t="shared" si="2"/>
        <v>0.46199342825848844</v>
      </c>
    </row>
    <row r="174" spans="1:9">
      <c r="A174" s="2" t="s">
        <v>339</v>
      </c>
      <c r="B174" s="3" t="s">
        <v>340</v>
      </c>
      <c r="C174" s="8" t="s">
        <v>455</v>
      </c>
      <c r="D174" s="8" t="s">
        <v>37</v>
      </c>
      <c r="E174" s="8"/>
      <c r="F174" s="3" t="s">
        <v>38</v>
      </c>
      <c r="G174" s="8">
        <v>2</v>
      </c>
      <c r="H174" s="3">
        <v>0.28299999999999997</v>
      </c>
      <c r="I174">
        <f t="shared" si="2"/>
        <v>0.41161007667031752</v>
      </c>
    </row>
    <row r="175" spans="1:9">
      <c r="A175" s="2" t="s">
        <v>341</v>
      </c>
      <c r="B175" s="3" t="s">
        <v>342</v>
      </c>
      <c r="C175" s="8" t="s">
        <v>455</v>
      </c>
      <c r="D175" s="8" t="s">
        <v>37</v>
      </c>
      <c r="E175" s="8"/>
      <c r="F175" s="3" t="s">
        <v>38</v>
      </c>
      <c r="G175" s="8">
        <v>3</v>
      </c>
      <c r="H175" s="3">
        <v>0.27200000000000002</v>
      </c>
      <c r="I175">
        <f t="shared" si="2"/>
        <v>0.38751369112814893</v>
      </c>
    </row>
    <row r="176" spans="1:9">
      <c r="A176" s="2" t="s">
        <v>343</v>
      </c>
      <c r="B176" s="3" t="s">
        <v>344</v>
      </c>
      <c r="C176" s="8" t="s">
        <v>455</v>
      </c>
      <c r="D176" s="8" t="s">
        <v>45</v>
      </c>
      <c r="E176" s="8"/>
      <c r="F176" s="3" t="s">
        <v>46</v>
      </c>
      <c r="G176" s="8">
        <v>1</v>
      </c>
      <c r="H176" s="3">
        <v>1.21E-2</v>
      </c>
      <c r="I176">
        <f t="shared" si="2"/>
        <v>-0.18181818181818182</v>
      </c>
    </row>
    <row r="177" spans="1:9">
      <c r="A177" s="2" t="s">
        <v>345</v>
      </c>
      <c r="B177" s="3" t="s">
        <v>346</v>
      </c>
      <c r="C177" s="8" t="s">
        <v>455</v>
      </c>
      <c r="D177" s="8" t="s">
        <v>45</v>
      </c>
      <c r="E177" s="8"/>
      <c r="F177" s="3" t="s">
        <v>46</v>
      </c>
      <c r="G177" s="8">
        <v>2</v>
      </c>
      <c r="H177" s="3">
        <v>0.11700000000000001</v>
      </c>
      <c r="I177">
        <f t="shared" si="2"/>
        <v>4.7973713033954E-2</v>
      </c>
    </row>
    <row r="178" spans="1:9">
      <c r="A178" s="2" t="s">
        <v>347</v>
      </c>
      <c r="B178" s="3" t="s">
        <v>348</v>
      </c>
      <c r="C178" s="8" t="s">
        <v>455</v>
      </c>
      <c r="D178" s="8" t="s">
        <v>45</v>
      </c>
      <c r="E178" s="8"/>
      <c r="F178" s="3" t="s">
        <v>46</v>
      </c>
      <c r="G178" s="8">
        <v>3</v>
      </c>
      <c r="H178" s="3">
        <v>0.114</v>
      </c>
      <c r="I178">
        <f t="shared" si="2"/>
        <v>4.1401971522453451E-2</v>
      </c>
    </row>
    <row r="179" spans="1:9">
      <c r="A179" s="2" t="s">
        <v>349</v>
      </c>
      <c r="B179" s="3" t="s">
        <v>350</v>
      </c>
      <c r="C179" s="8" t="s">
        <v>456</v>
      </c>
      <c r="D179" s="8" t="s">
        <v>13</v>
      </c>
      <c r="E179" s="8"/>
      <c r="F179" s="3" t="s">
        <v>14</v>
      </c>
      <c r="G179" s="8">
        <v>1</v>
      </c>
      <c r="H179" s="3">
        <v>5.1999999999999998E-2</v>
      </c>
      <c r="I179">
        <f t="shared" si="2"/>
        <v>-9.4414019715224548E-2</v>
      </c>
    </row>
    <row r="180" spans="1:9">
      <c r="A180" s="2" t="s">
        <v>351</v>
      </c>
      <c r="B180" s="3" t="s">
        <v>352</v>
      </c>
      <c r="C180" s="8" t="s">
        <v>456</v>
      </c>
      <c r="D180" s="8" t="s">
        <v>13</v>
      </c>
      <c r="E180" s="8"/>
      <c r="F180" s="3" t="s">
        <v>14</v>
      </c>
      <c r="G180" s="8">
        <v>2</v>
      </c>
      <c r="H180" s="3">
        <v>5.1999999999999998E-2</v>
      </c>
      <c r="I180">
        <f t="shared" si="2"/>
        <v>-9.4414019715224548E-2</v>
      </c>
    </row>
    <row r="181" spans="1:9">
      <c r="A181" s="2" t="s">
        <v>353</v>
      </c>
      <c r="B181" s="3" t="s">
        <v>354</v>
      </c>
      <c r="C181" s="8" t="s">
        <v>456</v>
      </c>
      <c r="D181" s="8" t="s">
        <v>13</v>
      </c>
      <c r="E181" s="8"/>
      <c r="F181" s="3" t="s">
        <v>14</v>
      </c>
      <c r="G181" s="8">
        <v>3</v>
      </c>
      <c r="H181" s="3">
        <v>5.3999999999999999E-2</v>
      </c>
      <c r="I181">
        <f t="shared" si="2"/>
        <v>-9.0032858707557506E-2</v>
      </c>
    </row>
    <row r="182" spans="1:9">
      <c r="A182" s="2" t="s">
        <v>355</v>
      </c>
      <c r="B182" s="3" t="s">
        <v>356</v>
      </c>
      <c r="C182" s="8" t="s">
        <v>456</v>
      </c>
      <c r="D182" s="8" t="s">
        <v>21</v>
      </c>
      <c r="E182" s="8"/>
      <c r="F182" s="3" t="s">
        <v>22</v>
      </c>
      <c r="G182" s="8">
        <v>1</v>
      </c>
      <c r="H182" s="3">
        <v>0.184</v>
      </c>
      <c r="I182">
        <f t="shared" si="2"/>
        <v>0.19474260679079955</v>
      </c>
    </row>
    <row r="183" spans="1:9">
      <c r="A183" s="2" t="s">
        <v>357</v>
      </c>
      <c r="B183" s="3" t="s">
        <v>358</v>
      </c>
      <c r="C183" s="8" t="s">
        <v>456</v>
      </c>
      <c r="D183" s="8" t="s">
        <v>21</v>
      </c>
      <c r="E183" s="8"/>
      <c r="F183" s="3" t="s">
        <v>22</v>
      </c>
      <c r="G183" s="8">
        <v>2</v>
      </c>
      <c r="H183" s="3">
        <v>0.14899999999999999</v>
      </c>
      <c r="I183">
        <f t="shared" si="2"/>
        <v>0.11807228915662647</v>
      </c>
    </row>
    <row r="184" spans="1:9">
      <c r="A184" s="2" t="s">
        <v>359</v>
      </c>
      <c r="B184" s="3" t="s">
        <v>360</v>
      </c>
      <c r="C184" s="8" t="s">
        <v>456</v>
      </c>
      <c r="D184" s="8" t="s">
        <v>21</v>
      </c>
      <c r="E184" s="8"/>
      <c r="F184" s="3" t="s">
        <v>22</v>
      </c>
      <c r="G184" s="8">
        <v>3</v>
      </c>
      <c r="H184" s="3">
        <v>0.157</v>
      </c>
      <c r="I184">
        <f t="shared" si="2"/>
        <v>0.13559693318729463</v>
      </c>
    </row>
    <row r="185" spans="1:9">
      <c r="A185" s="2" t="s">
        <v>361</v>
      </c>
      <c r="B185" s="3" t="s">
        <v>362</v>
      </c>
      <c r="C185" s="8" t="s">
        <v>456</v>
      </c>
      <c r="D185" s="8" t="s">
        <v>29</v>
      </c>
      <c r="E185" s="8"/>
      <c r="F185" s="3" t="s">
        <v>30</v>
      </c>
      <c r="G185" s="8">
        <v>1</v>
      </c>
      <c r="H185" s="3">
        <v>7.5999999999999998E-2</v>
      </c>
      <c r="I185">
        <f t="shared" si="2"/>
        <v>-4.1840087623220168E-2</v>
      </c>
    </row>
    <row r="186" spans="1:9">
      <c r="A186" s="2" t="s">
        <v>363</v>
      </c>
      <c r="B186" s="3" t="s">
        <v>364</v>
      </c>
      <c r="C186" s="8" t="s">
        <v>456</v>
      </c>
      <c r="D186" s="8" t="s">
        <v>29</v>
      </c>
      <c r="E186" s="8"/>
      <c r="F186" s="3" t="s">
        <v>30</v>
      </c>
      <c r="G186" s="8">
        <v>2</v>
      </c>
      <c r="H186" s="3">
        <v>8.3000000000000004E-2</v>
      </c>
      <c r="I186">
        <f t="shared" si="2"/>
        <v>-2.6506024096385541E-2</v>
      </c>
    </row>
    <row r="187" spans="1:9">
      <c r="A187" s="2" t="s">
        <v>365</v>
      </c>
      <c r="B187" s="3" t="s">
        <v>366</v>
      </c>
      <c r="C187" s="8" t="s">
        <v>456</v>
      </c>
      <c r="D187" s="8" t="s">
        <v>29</v>
      </c>
      <c r="E187" s="8"/>
      <c r="F187" s="3" t="s">
        <v>30</v>
      </c>
      <c r="G187" s="8">
        <v>3</v>
      </c>
      <c r="H187" s="3">
        <v>7.5999999999999998E-2</v>
      </c>
      <c r="I187">
        <f t="shared" si="2"/>
        <v>-4.1840087623220168E-2</v>
      </c>
    </row>
    <row r="188" spans="1:9">
      <c r="A188" s="2" t="s">
        <v>367</v>
      </c>
      <c r="B188" s="3" t="s">
        <v>368</v>
      </c>
      <c r="C188" s="8" t="s">
        <v>456</v>
      </c>
      <c r="D188" s="8" t="s">
        <v>37</v>
      </c>
      <c r="E188" s="8"/>
      <c r="F188" s="3" t="s">
        <v>38</v>
      </c>
      <c r="G188" s="8">
        <v>1</v>
      </c>
      <c r="H188" s="3">
        <v>0.40899999999999997</v>
      </c>
      <c r="I188">
        <f t="shared" si="2"/>
        <v>0.68762322015334054</v>
      </c>
    </row>
    <row r="189" spans="1:9">
      <c r="A189" s="2" t="s">
        <v>369</v>
      </c>
      <c r="B189" s="3" t="s">
        <v>370</v>
      </c>
      <c r="C189" s="8" t="s">
        <v>456</v>
      </c>
      <c r="D189" s="8" t="s">
        <v>37</v>
      </c>
      <c r="E189" s="8"/>
      <c r="F189" s="3" t="s">
        <v>38</v>
      </c>
      <c r="G189" s="8">
        <v>2</v>
      </c>
      <c r="H189" s="3">
        <v>0.35699999999999998</v>
      </c>
      <c r="I189">
        <f t="shared" si="2"/>
        <v>0.57371303395399775</v>
      </c>
    </row>
    <row r="190" spans="1:9">
      <c r="A190" s="2" t="s">
        <v>371</v>
      </c>
      <c r="B190" s="3" t="s">
        <v>372</v>
      </c>
      <c r="C190" s="8" t="s">
        <v>456</v>
      </c>
      <c r="D190" s="8" t="s">
        <v>37</v>
      </c>
      <c r="E190" s="8"/>
      <c r="F190" s="3" t="s">
        <v>38</v>
      </c>
      <c r="G190" s="8">
        <v>3</v>
      </c>
      <c r="H190" s="3">
        <v>0.307</v>
      </c>
      <c r="I190">
        <f t="shared" si="2"/>
        <v>0.46418400876232196</v>
      </c>
    </row>
    <row r="191" spans="1:9">
      <c r="A191" s="2" t="s">
        <v>373</v>
      </c>
      <c r="B191" s="3" t="s">
        <v>374</v>
      </c>
      <c r="C191" s="8" t="s">
        <v>456</v>
      </c>
      <c r="D191" s="8" t="s">
        <v>45</v>
      </c>
      <c r="E191" s="8"/>
      <c r="F191" s="3" t="s">
        <v>46</v>
      </c>
      <c r="G191" s="8">
        <v>1</v>
      </c>
      <c r="H191" s="3">
        <v>0.13500000000000001</v>
      </c>
      <c r="I191">
        <f t="shared" si="2"/>
        <v>8.7404162102957289E-2</v>
      </c>
    </row>
    <row r="192" spans="1:9">
      <c r="A192" s="2" t="s">
        <v>375</v>
      </c>
      <c r="B192" s="3" t="s">
        <v>376</v>
      </c>
      <c r="C192" s="8" t="s">
        <v>456</v>
      </c>
      <c r="D192" s="8" t="s">
        <v>45</v>
      </c>
      <c r="E192" s="8"/>
      <c r="F192" s="3" t="s">
        <v>46</v>
      </c>
      <c r="G192" s="8">
        <v>2</v>
      </c>
      <c r="H192" s="3">
        <v>0.12</v>
      </c>
      <c r="I192">
        <f t="shared" si="2"/>
        <v>5.4545454545454522E-2</v>
      </c>
    </row>
    <row r="193" spans="1:20">
      <c r="A193" s="2" t="s">
        <v>377</v>
      </c>
      <c r="B193" s="3" t="s">
        <v>378</v>
      </c>
      <c r="C193" s="8" t="s">
        <v>456</v>
      </c>
      <c r="D193" s="8" t="s">
        <v>45</v>
      </c>
      <c r="E193" s="8"/>
      <c r="F193" s="3" t="s">
        <v>46</v>
      </c>
      <c r="G193" s="8">
        <v>3</v>
      </c>
      <c r="H193" s="3">
        <v>0.12</v>
      </c>
      <c r="I193">
        <f t="shared" si="2"/>
        <v>5.4545454545454522E-2</v>
      </c>
    </row>
    <row r="194" spans="1:20">
      <c r="A194" s="2" t="s">
        <v>457</v>
      </c>
      <c r="B194" s="3" t="s">
        <v>426</v>
      </c>
      <c r="C194" s="8" t="s">
        <v>426</v>
      </c>
      <c r="D194" s="8"/>
      <c r="E194" s="8"/>
      <c r="F194" s="8"/>
      <c r="G194" s="8"/>
      <c r="H194" s="3">
        <v>3.5000000000000003E-2</v>
      </c>
      <c r="I194">
        <f t="shared" si="2"/>
        <v>-0.13165388828039429</v>
      </c>
    </row>
    <row r="195" spans="1:20">
      <c r="A195" s="2" t="s">
        <v>458</v>
      </c>
      <c r="B195" s="3" t="s">
        <v>428</v>
      </c>
      <c r="C195" s="8" t="s">
        <v>429</v>
      </c>
      <c r="D195" s="8">
        <v>1</v>
      </c>
      <c r="E195" s="8"/>
      <c r="F195" s="8"/>
      <c r="G195" s="8"/>
      <c r="H195" s="3">
        <v>3.9620000000000002</v>
      </c>
      <c r="I195">
        <f t="shared" ref="I195:I232" si="3">(H195-0.0951)/0.4565</f>
        <v>8.4707557502738222</v>
      </c>
    </row>
    <row r="196" spans="1:20">
      <c r="A196" s="2" t="s">
        <v>459</v>
      </c>
      <c r="B196" s="3" t="s">
        <v>431</v>
      </c>
      <c r="C196" s="8" t="s">
        <v>429</v>
      </c>
      <c r="D196" s="8">
        <v>2</v>
      </c>
      <c r="E196" s="8"/>
      <c r="F196" s="8"/>
      <c r="G196" s="8"/>
      <c r="H196" s="3">
        <v>3.96</v>
      </c>
      <c r="I196">
        <f t="shared" si="3"/>
        <v>8.4663745892661559</v>
      </c>
    </row>
    <row r="197" spans="1:20">
      <c r="A197" s="2" t="s">
        <v>460</v>
      </c>
      <c r="B197" s="3" t="s">
        <v>434</v>
      </c>
      <c r="C197" s="8" t="s">
        <v>429</v>
      </c>
      <c r="D197" s="8">
        <v>3</v>
      </c>
      <c r="E197" s="8"/>
      <c r="F197" s="8"/>
      <c r="G197" s="8"/>
      <c r="H197" s="6">
        <v>3.5</v>
      </c>
      <c r="I197">
        <f t="shared" si="3"/>
        <v>7.4587075575027377</v>
      </c>
    </row>
    <row r="198" spans="1:20">
      <c r="A198" s="2" t="s">
        <v>461</v>
      </c>
      <c r="B198" s="3" t="s">
        <v>436</v>
      </c>
      <c r="C198" s="8" t="s">
        <v>429</v>
      </c>
      <c r="D198" s="8">
        <v>4</v>
      </c>
      <c r="E198" s="8"/>
      <c r="F198" s="8"/>
      <c r="G198" s="8"/>
      <c r="H198" s="3">
        <v>0.69099999999999995</v>
      </c>
      <c r="I198">
        <f t="shared" si="3"/>
        <v>1.305366922234392</v>
      </c>
    </row>
    <row r="199" spans="1:20">
      <c r="A199" s="2" t="s">
        <v>462</v>
      </c>
      <c r="B199" s="3" t="s">
        <v>438</v>
      </c>
      <c r="C199" s="8" t="s">
        <v>429</v>
      </c>
      <c r="D199" s="8">
        <v>5</v>
      </c>
      <c r="E199" s="8"/>
      <c r="F199" s="8"/>
      <c r="G199" s="8"/>
      <c r="H199" s="3">
        <v>9.5000000000000001E-2</v>
      </c>
      <c r="I199">
        <f t="shared" si="3"/>
        <v>-2.1905805038335786E-4</v>
      </c>
    </row>
    <row r="200" spans="1:20">
      <c r="A200" s="2" t="s">
        <v>379</v>
      </c>
      <c r="B200" s="3" t="s">
        <v>380</v>
      </c>
      <c r="C200" s="8" t="s">
        <v>463</v>
      </c>
      <c r="D200" s="8" t="s">
        <v>13</v>
      </c>
      <c r="E200" s="8"/>
      <c r="F200" s="3" t="s">
        <v>14</v>
      </c>
      <c r="G200" s="8">
        <v>1</v>
      </c>
      <c r="H200" s="3">
        <v>5.1999999999999998E-2</v>
      </c>
      <c r="I200">
        <f t="shared" si="3"/>
        <v>-9.4414019715224548E-2</v>
      </c>
    </row>
    <row r="201" spans="1:20">
      <c r="A201" s="2" t="s">
        <v>381</v>
      </c>
      <c r="B201" s="3" t="s">
        <v>382</v>
      </c>
      <c r="C201" s="8" t="s">
        <v>463</v>
      </c>
      <c r="D201" s="8" t="s">
        <v>13</v>
      </c>
      <c r="E201" s="8"/>
      <c r="F201" s="3" t="s">
        <v>14</v>
      </c>
      <c r="G201" s="8">
        <v>2</v>
      </c>
      <c r="H201" s="3">
        <v>0.05</v>
      </c>
      <c r="I201">
        <f t="shared" si="3"/>
        <v>-9.8795180722891562E-2</v>
      </c>
    </row>
    <row r="202" spans="1:20">
      <c r="A202" s="2" t="s">
        <v>383</v>
      </c>
      <c r="B202" s="3" t="s">
        <v>384</v>
      </c>
      <c r="C202" s="8" t="s">
        <v>463</v>
      </c>
      <c r="D202" s="8" t="s">
        <v>13</v>
      </c>
      <c r="E202" s="8"/>
      <c r="F202" s="3" t="s">
        <v>14</v>
      </c>
      <c r="G202" s="8">
        <v>3</v>
      </c>
      <c r="H202" s="3">
        <v>5.0999999999999997E-2</v>
      </c>
      <c r="I202">
        <f t="shared" si="3"/>
        <v>-9.6604600219058062E-2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spans="1:20">
      <c r="A203" s="2" t="s">
        <v>385</v>
      </c>
      <c r="B203" s="3" t="s">
        <v>386</v>
      </c>
      <c r="C203" s="8" t="s">
        <v>463</v>
      </c>
      <c r="D203" s="8" t="s">
        <v>21</v>
      </c>
      <c r="E203" s="8"/>
      <c r="F203" s="3" t="s">
        <v>22</v>
      </c>
      <c r="G203" s="8">
        <v>1</v>
      </c>
      <c r="H203" s="3">
        <v>9.9000000000000005E-2</v>
      </c>
      <c r="I203">
        <f t="shared" si="3"/>
        <v>8.5432639649507137E-3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>
      <c r="A204" s="2" t="s">
        <v>387</v>
      </c>
      <c r="B204" s="3" t="s">
        <v>388</v>
      </c>
      <c r="C204" s="8" t="s">
        <v>463</v>
      </c>
      <c r="D204" s="8" t="s">
        <v>21</v>
      </c>
      <c r="E204" s="8"/>
      <c r="F204" s="3" t="s">
        <v>22</v>
      </c>
      <c r="G204" s="8">
        <v>2</v>
      </c>
      <c r="H204" s="3">
        <v>0.10199999999999999</v>
      </c>
      <c r="I204">
        <f t="shared" si="3"/>
        <v>1.5115005476451235E-2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>
      <c r="A205" s="2" t="s">
        <v>389</v>
      </c>
      <c r="B205" s="3" t="s">
        <v>390</v>
      </c>
      <c r="C205" s="8" t="s">
        <v>463</v>
      </c>
      <c r="D205" s="8" t="s">
        <v>21</v>
      </c>
      <c r="E205" s="8"/>
      <c r="F205" s="3" t="s">
        <v>22</v>
      </c>
      <c r="G205" s="8">
        <v>3</v>
      </c>
      <c r="H205" s="3">
        <v>0.107</v>
      </c>
      <c r="I205">
        <f t="shared" si="3"/>
        <v>2.6067907995618825E-2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>
      <c r="A206" s="2" t="s">
        <v>391</v>
      </c>
      <c r="B206" s="3" t="s">
        <v>392</v>
      </c>
      <c r="C206" s="8" t="s">
        <v>463</v>
      </c>
      <c r="D206" s="8" t="s">
        <v>29</v>
      </c>
      <c r="E206" s="8"/>
      <c r="F206" s="3" t="s">
        <v>30</v>
      </c>
      <c r="G206" s="8">
        <v>1</v>
      </c>
      <c r="H206" s="3">
        <v>6.0999999999999999E-2</v>
      </c>
      <c r="I206">
        <f t="shared" si="3"/>
        <v>-7.4698795180722907E-2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>
      <c r="A207" s="2" t="s">
        <v>393</v>
      </c>
      <c r="B207" s="3" t="s">
        <v>394</v>
      </c>
      <c r="C207" s="8" t="s">
        <v>463</v>
      </c>
      <c r="D207" s="8" t="s">
        <v>29</v>
      </c>
      <c r="E207" s="8"/>
      <c r="F207" s="3" t="s">
        <v>30</v>
      </c>
      <c r="G207" s="8">
        <v>2</v>
      </c>
      <c r="H207" s="3">
        <v>0.06</v>
      </c>
      <c r="I207">
        <f t="shared" si="3"/>
        <v>-7.6889375684556421E-2</v>
      </c>
    </row>
    <row r="208" spans="1:20">
      <c r="A208" s="2" t="s">
        <v>395</v>
      </c>
      <c r="B208" s="3" t="s">
        <v>396</v>
      </c>
      <c r="C208" s="8" t="s">
        <v>463</v>
      </c>
      <c r="D208" s="8" t="s">
        <v>29</v>
      </c>
      <c r="E208" s="8"/>
      <c r="F208" s="3" t="s">
        <v>30</v>
      </c>
      <c r="G208" s="8">
        <v>3</v>
      </c>
      <c r="H208" s="3">
        <v>4.7E-2</v>
      </c>
      <c r="I208">
        <f t="shared" si="3"/>
        <v>-0.10536692223439212</v>
      </c>
    </row>
    <row r="209" spans="1:15">
      <c r="A209" s="2" t="s">
        <v>397</v>
      </c>
      <c r="B209" s="3" t="s">
        <v>398</v>
      </c>
      <c r="C209" s="8" t="s">
        <v>463</v>
      </c>
      <c r="D209" s="8" t="s">
        <v>37</v>
      </c>
      <c r="E209" s="8"/>
      <c r="F209" s="3" t="s">
        <v>38</v>
      </c>
      <c r="G209" s="8">
        <v>1</v>
      </c>
      <c r="H209" s="3">
        <v>0.31900000000000001</v>
      </c>
      <c r="I209">
        <f t="shared" si="3"/>
        <v>0.49047097480832413</v>
      </c>
    </row>
    <row r="210" spans="1:15">
      <c r="A210" s="2" t="s">
        <v>399</v>
      </c>
      <c r="B210" s="3" t="s">
        <v>400</v>
      </c>
      <c r="C210" s="8" t="s">
        <v>463</v>
      </c>
      <c r="D210" s="8" t="s">
        <v>37</v>
      </c>
      <c r="E210" s="8"/>
      <c r="F210" s="3" t="s">
        <v>38</v>
      </c>
      <c r="G210" s="8">
        <v>2</v>
      </c>
      <c r="H210" s="3">
        <v>0.36199999999999999</v>
      </c>
      <c r="I210">
        <f t="shared" si="3"/>
        <v>0.58466593647316534</v>
      </c>
    </row>
    <row r="211" spans="1:15">
      <c r="A211" s="2" t="s">
        <v>401</v>
      </c>
      <c r="B211" s="3" t="s">
        <v>402</v>
      </c>
      <c r="C211" s="8" t="s">
        <v>463</v>
      </c>
      <c r="D211" s="8" t="s">
        <v>37</v>
      </c>
      <c r="E211" s="8"/>
      <c r="F211" s="3" t="s">
        <v>38</v>
      </c>
      <c r="G211" s="8">
        <v>3</v>
      </c>
      <c r="H211" s="3">
        <v>0.29599999999999999</v>
      </c>
      <c r="I211">
        <f t="shared" si="3"/>
        <v>0.44008762322015327</v>
      </c>
    </row>
    <row r="212" spans="1:15">
      <c r="A212" s="2" t="s">
        <v>403</v>
      </c>
      <c r="B212" s="3" t="s">
        <v>404</v>
      </c>
      <c r="C212" s="8" t="s">
        <v>463</v>
      </c>
      <c r="D212" s="8" t="s">
        <v>45</v>
      </c>
      <c r="E212" s="8"/>
      <c r="F212" s="3" t="s">
        <v>46</v>
      </c>
      <c r="G212" s="8">
        <v>1</v>
      </c>
      <c r="H212" s="3">
        <v>9.7000000000000003E-2</v>
      </c>
      <c r="I212">
        <f t="shared" si="3"/>
        <v>4.1621029572836777E-3</v>
      </c>
      <c r="J212" s="4"/>
      <c r="K212" s="4"/>
      <c r="L212" s="4"/>
      <c r="M212" s="4"/>
      <c r="N212" s="4"/>
      <c r="O212" s="4"/>
    </row>
    <row r="213" spans="1:15">
      <c r="A213" s="2" t="s">
        <v>405</v>
      </c>
      <c r="B213" s="3" t="s">
        <v>406</v>
      </c>
      <c r="C213" s="8" t="s">
        <v>463</v>
      </c>
      <c r="D213" s="8" t="s">
        <v>45</v>
      </c>
      <c r="E213" s="8"/>
      <c r="F213" s="3" t="s">
        <v>46</v>
      </c>
      <c r="G213" s="8">
        <v>2</v>
      </c>
      <c r="H213" s="3">
        <v>9.4E-2</v>
      </c>
      <c r="I213">
        <f t="shared" si="3"/>
        <v>-2.4096385542168755E-3</v>
      </c>
    </row>
    <row r="214" spans="1:15">
      <c r="A214" s="2" t="s">
        <v>407</v>
      </c>
      <c r="B214" s="3" t="s">
        <v>408</v>
      </c>
      <c r="C214" s="8" t="s">
        <v>463</v>
      </c>
      <c r="D214" s="8" t="s">
        <v>45</v>
      </c>
      <c r="E214" s="8"/>
      <c r="F214" s="3" t="s">
        <v>46</v>
      </c>
      <c r="G214" s="8">
        <v>3</v>
      </c>
      <c r="H214" s="3">
        <v>9.8000000000000004E-2</v>
      </c>
      <c r="I214">
        <f t="shared" si="3"/>
        <v>6.3526834611171952E-3</v>
      </c>
    </row>
    <row r="215" spans="1:15">
      <c r="A215" s="2" t="s">
        <v>416</v>
      </c>
      <c r="B215" s="3" t="s">
        <v>417</v>
      </c>
      <c r="C215" s="8" t="s">
        <v>418</v>
      </c>
      <c r="D215" s="8" t="s">
        <v>419</v>
      </c>
      <c r="E215" s="8"/>
      <c r="F215" s="3" t="s">
        <v>420</v>
      </c>
      <c r="G215" s="8">
        <v>1</v>
      </c>
      <c r="H215" s="3">
        <v>7.0999999999999994E-2</v>
      </c>
      <c r="I215">
        <f t="shared" si="3"/>
        <v>-5.2792990142387752E-2</v>
      </c>
    </row>
    <row r="216" spans="1:15">
      <c r="A216" s="2" t="s">
        <v>421</v>
      </c>
      <c r="B216" s="3" t="s">
        <v>422</v>
      </c>
      <c r="C216" s="8" t="s">
        <v>418</v>
      </c>
      <c r="D216" s="8" t="s">
        <v>419</v>
      </c>
      <c r="E216" s="8"/>
      <c r="F216" s="3" t="s">
        <v>420</v>
      </c>
      <c r="G216" s="8">
        <v>2</v>
      </c>
      <c r="H216" s="3">
        <v>0.04</v>
      </c>
      <c r="I216">
        <f t="shared" si="3"/>
        <v>-0.12070098576122673</v>
      </c>
    </row>
    <row r="217" spans="1:15">
      <c r="A217" s="2" t="s">
        <v>423</v>
      </c>
      <c r="B217" s="3" t="s">
        <v>424</v>
      </c>
      <c r="C217" s="8" t="s">
        <v>418</v>
      </c>
      <c r="D217" s="8" t="s">
        <v>419</v>
      </c>
      <c r="E217" s="8"/>
      <c r="F217" s="3" t="s">
        <v>420</v>
      </c>
      <c r="G217" s="8">
        <v>3</v>
      </c>
      <c r="H217" s="3">
        <v>4.4999999999999998E-2</v>
      </c>
      <c r="I217">
        <f t="shared" si="3"/>
        <v>-0.10974808324205916</v>
      </c>
    </row>
    <row r="218" spans="1:15">
      <c r="A218" s="2" t="s">
        <v>409</v>
      </c>
      <c r="B218" s="3" t="s">
        <v>410</v>
      </c>
      <c r="C218" s="8" t="s">
        <v>464</v>
      </c>
      <c r="D218" s="8" t="s">
        <v>21</v>
      </c>
      <c r="E218" s="8"/>
      <c r="F218" s="3" t="s">
        <v>22</v>
      </c>
      <c r="G218" s="8">
        <v>1</v>
      </c>
      <c r="H218" s="3">
        <v>0.151</v>
      </c>
      <c r="I218">
        <f t="shared" si="3"/>
        <v>0.12245345016429351</v>
      </c>
    </row>
    <row r="219" spans="1:15">
      <c r="A219" s="2" t="s">
        <v>465</v>
      </c>
      <c r="B219" s="3" t="s">
        <v>466</v>
      </c>
      <c r="C219" s="8" t="s">
        <v>429</v>
      </c>
      <c r="D219" s="8">
        <v>0</v>
      </c>
      <c r="E219" s="8"/>
      <c r="F219" s="8"/>
      <c r="G219" s="8"/>
      <c r="H219" s="3">
        <v>3.9E-2</v>
      </c>
      <c r="I219">
        <f t="shared" si="3"/>
        <v>-0.12289156626506025</v>
      </c>
    </row>
    <row r="220" spans="1:15">
      <c r="A220" s="2" t="s">
        <v>467</v>
      </c>
      <c r="B220" s="3" t="s">
        <v>466</v>
      </c>
      <c r="C220" s="8" t="s">
        <v>429</v>
      </c>
      <c r="D220" s="8">
        <v>0</v>
      </c>
      <c r="E220" s="8"/>
      <c r="F220" s="8"/>
      <c r="G220" s="8"/>
      <c r="H220" s="3">
        <v>3.9E-2</v>
      </c>
      <c r="I220">
        <f t="shared" si="3"/>
        <v>-0.12289156626506025</v>
      </c>
    </row>
    <row r="221" spans="1:15">
      <c r="A221" s="2" t="s">
        <v>468</v>
      </c>
      <c r="B221" s="3" t="s">
        <v>466</v>
      </c>
      <c r="C221" s="8" t="s">
        <v>429</v>
      </c>
      <c r="D221" s="8">
        <v>0</v>
      </c>
      <c r="E221" s="8"/>
      <c r="F221" s="8"/>
      <c r="G221" s="8"/>
      <c r="H221" s="3">
        <v>3.9E-2</v>
      </c>
      <c r="I221">
        <f t="shared" si="3"/>
        <v>-0.12289156626506025</v>
      </c>
    </row>
    <row r="222" spans="1:15">
      <c r="A222" s="2" t="s">
        <v>469</v>
      </c>
      <c r="B222" s="3" t="s">
        <v>470</v>
      </c>
      <c r="C222" s="8" t="s">
        <v>429</v>
      </c>
      <c r="D222" s="8">
        <v>3</v>
      </c>
      <c r="E222" s="8">
        <v>2</v>
      </c>
      <c r="F222" s="8"/>
      <c r="G222" s="8" t="s">
        <v>471</v>
      </c>
      <c r="H222" s="3">
        <v>2.669</v>
      </c>
      <c r="I222">
        <f t="shared" si="3"/>
        <v>5.6383351588170862</v>
      </c>
    </row>
    <row r="223" spans="1:15">
      <c r="A223" s="2" t="s">
        <v>472</v>
      </c>
      <c r="B223" s="3" t="s">
        <v>473</v>
      </c>
      <c r="C223" s="8" t="s">
        <v>429</v>
      </c>
      <c r="D223" s="8">
        <v>3</v>
      </c>
      <c r="E223" s="8">
        <v>2</v>
      </c>
      <c r="F223" s="8"/>
      <c r="G223" s="8" t="s">
        <v>471</v>
      </c>
      <c r="H223" s="3">
        <v>2.3239999999999998</v>
      </c>
      <c r="I223">
        <f t="shared" si="3"/>
        <v>4.8825848849945235</v>
      </c>
    </row>
    <row r="224" spans="1:15">
      <c r="A224" s="2" t="s">
        <v>474</v>
      </c>
      <c r="B224" s="3" t="s">
        <v>475</v>
      </c>
      <c r="C224" s="8" t="s">
        <v>429</v>
      </c>
      <c r="D224" s="8">
        <v>3</v>
      </c>
      <c r="E224" s="8">
        <v>2</v>
      </c>
      <c r="F224" s="8"/>
      <c r="G224" s="8" t="s">
        <v>471</v>
      </c>
      <c r="H224" s="3">
        <v>2.1480000000000001</v>
      </c>
      <c r="I224">
        <f t="shared" si="3"/>
        <v>4.4970427163198252</v>
      </c>
    </row>
    <row r="225" spans="1:9">
      <c r="A225" s="2" t="s">
        <v>476</v>
      </c>
      <c r="B225" s="3" t="s">
        <v>477</v>
      </c>
      <c r="C225" s="8" t="s">
        <v>429</v>
      </c>
      <c r="D225" s="8">
        <v>3</v>
      </c>
      <c r="E225" s="8">
        <v>4</v>
      </c>
      <c r="F225" s="8"/>
      <c r="G225" s="8" t="s">
        <v>478</v>
      </c>
      <c r="H225" s="3">
        <v>1.345</v>
      </c>
      <c r="I225">
        <f t="shared" si="3"/>
        <v>2.7380065717415114</v>
      </c>
    </row>
    <row r="226" spans="1:9">
      <c r="A226" s="2" t="s">
        <v>479</v>
      </c>
      <c r="B226" s="3" t="s">
        <v>480</v>
      </c>
      <c r="C226" s="8" t="s">
        <v>429</v>
      </c>
      <c r="D226" s="8">
        <v>3</v>
      </c>
      <c r="E226" s="8">
        <v>4</v>
      </c>
      <c r="F226" s="8"/>
      <c r="G226" s="8" t="s">
        <v>478</v>
      </c>
      <c r="H226" s="3">
        <v>1.1579999999999999</v>
      </c>
      <c r="I226">
        <f t="shared" si="3"/>
        <v>2.3283680175246437</v>
      </c>
    </row>
    <row r="227" spans="1:9">
      <c r="A227" s="2" t="s">
        <v>481</v>
      </c>
      <c r="B227" s="3" t="s">
        <v>482</v>
      </c>
      <c r="C227" s="8" t="s">
        <v>429</v>
      </c>
      <c r="D227" s="8">
        <v>3</v>
      </c>
      <c r="E227" s="8">
        <v>4</v>
      </c>
      <c r="F227" s="8"/>
      <c r="G227" s="8" t="s">
        <v>478</v>
      </c>
      <c r="H227" s="3">
        <v>1.1020000000000001</v>
      </c>
      <c r="I227">
        <f t="shared" si="3"/>
        <v>2.2056955093099675</v>
      </c>
    </row>
    <row r="228" spans="1:9">
      <c r="A228" s="2" t="s">
        <v>411</v>
      </c>
      <c r="B228" s="3" t="s">
        <v>412</v>
      </c>
      <c r="C228" s="8" t="s">
        <v>441</v>
      </c>
      <c r="D228" s="8" t="s">
        <v>413</v>
      </c>
      <c r="E228" s="8">
        <v>2</v>
      </c>
      <c r="F228" s="8" t="s">
        <v>38</v>
      </c>
      <c r="G228" s="8" t="s">
        <v>471</v>
      </c>
      <c r="H228" s="3">
        <v>0.52700000000000002</v>
      </c>
      <c r="I228">
        <f t="shared" si="3"/>
        <v>0.94611171960569551</v>
      </c>
    </row>
    <row r="229" spans="1:9">
      <c r="A229" s="2" t="s">
        <v>483</v>
      </c>
      <c r="B229" s="3" t="s">
        <v>484</v>
      </c>
      <c r="C229" s="8" t="s">
        <v>429</v>
      </c>
      <c r="D229" s="8">
        <v>3</v>
      </c>
      <c r="E229" s="8">
        <v>8</v>
      </c>
      <c r="F229" s="8"/>
      <c r="G229" s="8" t="s">
        <v>485</v>
      </c>
      <c r="H229" s="3">
        <v>0.70899999999999996</v>
      </c>
      <c r="I229">
        <f t="shared" si="3"/>
        <v>1.3447973713033954</v>
      </c>
    </row>
    <row r="230" spans="1:9">
      <c r="A230" s="2" t="s">
        <v>486</v>
      </c>
      <c r="B230" s="3" t="s">
        <v>487</v>
      </c>
      <c r="C230" s="8" t="s">
        <v>429</v>
      </c>
      <c r="D230" s="8">
        <v>3</v>
      </c>
      <c r="E230" s="8">
        <v>8</v>
      </c>
      <c r="F230" s="8"/>
      <c r="G230" s="8" t="s">
        <v>485</v>
      </c>
      <c r="H230" s="3">
        <v>0.625</v>
      </c>
      <c r="I230">
        <f t="shared" si="3"/>
        <v>1.1607886089813801</v>
      </c>
    </row>
    <row r="231" spans="1:9">
      <c r="A231" s="2" t="s">
        <v>488</v>
      </c>
      <c r="B231" s="3" t="s">
        <v>489</v>
      </c>
      <c r="C231" s="8" t="s">
        <v>429</v>
      </c>
      <c r="D231" s="8">
        <v>3</v>
      </c>
      <c r="E231" s="8">
        <v>8</v>
      </c>
      <c r="F231" s="8"/>
      <c r="G231" s="8" t="s">
        <v>485</v>
      </c>
      <c r="H231" s="3">
        <v>0.59099999999999997</v>
      </c>
      <c r="I231">
        <f t="shared" si="3"/>
        <v>1.0863088718510403</v>
      </c>
    </row>
    <row r="232" spans="1:9">
      <c r="A232" s="2" t="s">
        <v>490</v>
      </c>
      <c r="B232" s="3" t="s">
        <v>491</v>
      </c>
      <c r="C232" s="8" t="s">
        <v>429</v>
      </c>
      <c r="D232" s="8">
        <v>3</v>
      </c>
      <c r="E232" s="8">
        <v>5</v>
      </c>
      <c r="F232" s="8"/>
      <c r="G232" s="8" t="s">
        <v>492</v>
      </c>
      <c r="H232" s="3">
        <v>0.89400000000000002</v>
      </c>
      <c r="I232">
        <f t="shared" si="3"/>
        <v>1.7500547645125959</v>
      </c>
    </row>
  </sheetData>
  <phoneticPr fontId="2" type="noConversion"/>
  <pageMargins left="0.7" right="0.7" top="0.75" bottom="0.75" header="0.3" footer="0.3"/>
  <pageSetup scale="8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A82E4-E874-4601-B769-9FC754C82E64}">
  <dimension ref="A1:Q50"/>
  <sheetViews>
    <sheetView topLeftCell="D33" workbookViewId="0">
      <selection activeCell="Q29" sqref="Q29"/>
    </sheetView>
  </sheetViews>
  <sheetFormatPr defaultRowHeight="15"/>
  <cols>
    <col min="1" max="1" width="15.7109375" customWidth="1"/>
    <col min="2" max="2" width="13.85546875" customWidth="1"/>
    <col min="4" max="4" width="10.5703125" customWidth="1"/>
    <col min="5" max="5" width="13.140625" customWidth="1"/>
    <col min="7" max="7" width="19" customWidth="1"/>
    <col min="8" max="8" width="31.140625" customWidth="1"/>
  </cols>
  <sheetData>
    <row r="1" spans="1:8">
      <c r="A1" s="7" t="s">
        <v>0</v>
      </c>
      <c r="B1" s="2" t="s">
        <v>1</v>
      </c>
      <c r="C1" s="7" t="s">
        <v>1</v>
      </c>
      <c r="D1" s="2" t="s">
        <v>3</v>
      </c>
      <c r="E1" s="2" t="s">
        <v>4</v>
      </c>
      <c r="F1" s="2" t="s">
        <v>6</v>
      </c>
      <c r="G1" s="2" t="s">
        <v>7</v>
      </c>
      <c r="H1" s="2" t="s">
        <v>8</v>
      </c>
    </row>
    <row r="2" spans="1:8">
      <c r="A2" s="2" t="s">
        <v>425</v>
      </c>
      <c r="B2" s="3" t="s">
        <v>426</v>
      </c>
      <c r="C2" s="8" t="s">
        <v>426</v>
      </c>
      <c r="D2" s="2"/>
      <c r="E2" s="3"/>
      <c r="F2" s="3"/>
      <c r="G2" s="3">
        <v>3.5000000000000003E-2</v>
      </c>
      <c r="H2" s="8"/>
    </row>
    <row r="3" spans="1:8">
      <c r="A3" s="2" t="s">
        <v>427</v>
      </c>
      <c r="B3" s="3" t="s">
        <v>428</v>
      </c>
      <c r="C3" s="8" t="s">
        <v>429</v>
      </c>
      <c r="D3" s="8">
        <v>1</v>
      </c>
      <c r="E3" s="3"/>
      <c r="F3" s="3"/>
      <c r="G3" s="3">
        <v>3.9860000000000002</v>
      </c>
      <c r="H3" s="8">
        <v>1000</v>
      </c>
    </row>
    <row r="4" spans="1:8">
      <c r="A4" s="2" t="s">
        <v>430</v>
      </c>
      <c r="B4" s="3" t="s">
        <v>431</v>
      </c>
      <c r="C4" s="8" t="s">
        <v>429</v>
      </c>
      <c r="D4" s="8">
        <v>2</v>
      </c>
      <c r="E4" s="3"/>
      <c r="F4" s="3"/>
      <c r="G4" s="3" t="s">
        <v>432</v>
      </c>
      <c r="H4" s="8">
        <v>100</v>
      </c>
    </row>
    <row r="5" spans="1:8">
      <c r="A5" s="2" t="s">
        <v>433</v>
      </c>
      <c r="B5" s="3" t="s">
        <v>434</v>
      </c>
      <c r="C5" s="8" t="s">
        <v>429</v>
      </c>
      <c r="D5" s="8">
        <v>3</v>
      </c>
      <c r="E5" s="3"/>
      <c r="F5" s="3"/>
      <c r="G5" s="6">
        <v>3.8969999999999998</v>
      </c>
      <c r="H5" s="8">
        <v>10</v>
      </c>
    </row>
    <row r="6" spans="1:8">
      <c r="A6" s="2" t="s">
        <v>435</v>
      </c>
      <c r="B6" s="3" t="s">
        <v>436</v>
      </c>
      <c r="C6" s="8" t="s">
        <v>429</v>
      </c>
      <c r="D6" s="8">
        <v>4</v>
      </c>
      <c r="E6" s="3"/>
      <c r="F6" s="3"/>
      <c r="G6" s="3">
        <v>0.69899999999999995</v>
      </c>
      <c r="H6" s="8">
        <v>1</v>
      </c>
    </row>
    <row r="7" spans="1:8">
      <c r="A7" s="2" t="s">
        <v>437</v>
      </c>
      <c r="B7" s="3" t="s">
        <v>438</v>
      </c>
      <c r="C7" s="8" t="s">
        <v>429</v>
      </c>
      <c r="D7" s="8">
        <v>5</v>
      </c>
      <c r="E7" s="3"/>
      <c r="F7" s="3"/>
      <c r="G7" s="3">
        <v>7.3999999999999996E-2</v>
      </c>
      <c r="H7" s="8">
        <v>0.1</v>
      </c>
    </row>
    <row r="8" spans="1:8">
      <c r="A8" s="2" t="s">
        <v>445</v>
      </c>
      <c r="B8" s="3" t="s">
        <v>426</v>
      </c>
      <c r="C8" s="8" t="s">
        <v>426</v>
      </c>
      <c r="D8" s="8"/>
      <c r="E8" s="8"/>
      <c r="F8" s="8"/>
      <c r="G8" s="3">
        <v>3.5000000000000003E-2</v>
      </c>
      <c r="H8" s="8"/>
    </row>
    <row r="9" spans="1:8">
      <c r="A9" s="2" t="s">
        <v>446</v>
      </c>
      <c r="B9" s="3" t="s">
        <v>428</v>
      </c>
      <c r="C9" s="8" t="s">
        <v>429</v>
      </c>
      <c r="D9" s="8">
        <v>1</v>
      </c>
      <c r="E9" s="8"/>
      <c r="F9" s="8"/>
      <c r="G9" s="3">
        <v>3.9620000000000002</v>
      </c>
      <c r="H9" s="8">
        <v>1000</v>
      </c>
    </row>
    <row r="10" spans="1:8">
      <c r="A10" s="2" t="s">
        <v>447</v>
      </c>
      <c r="B10" s="3" t="s">
        <v>431</v>
      </c>
      <c r="C10" s="8" t="s">
        <v>429</v>
      </c>
      <c r="D10" s="8">
        <v>2</v>
      </c>
      <c r="E10" s="8"/>
      <c r="F10" s="8"/>
      <c r="G10" s="3">
        <v>3.9590000000000001</v>
      </c>
      <c r="H10" s="8">
        <v>100</v>
      </c>
    </row>
    <row r="11" spans="1:8">
      <c r="A11" s="2" t="s">
        <v>448</v>
      </c>
      <c r="B11" s="3" t="s">
        <v>434</v>
      </c>
      <c r="C11" s="8" t="s">
        <v>429</v>
      </c>
      <c r="D11" s="8">
        <v>3</v>
      </c>
      <c r="E11" s="8"/>
      <c r="F11" s="8"/>
      <c r="G11" s="6">
        <v>3.6150000000000002</v>
      </c>
      <c r="H11" s="8">
        <v>10</v>
      </c>
    </row>
    <row r="12" spans="1:8">
      <c r="A12" s="2" t="s">
        <v>449</v>
      </c>
      <c r="B12" s="3" t="s">
        <v>436</v>
      </c>
      <c r="C12" s="8" t="s">
        <v>429</v>
      </c>
      <c r="D12" s="8">
        <v>4</v>
      </c>
      <c r="E12" s="8"/>
      <c r="F12" s="8"/>
      <c r="G12" s="3">
        <v>0.85699999999999998</v>
      </c>
      <c r="H12" s="8">
        <v>1</v>
      </c>
    </row>
    <row r="13" spans="1:8">
      <c r="A13" s="2" t="s">
        <v>450</v>
      </c>
      <c r="B13" s="3" t="s">
        <v>438</v>
      </c>
      <c r="C13" s="8" t="s">
        <v>429</v>
      </c>
      <c r="D13" s="8">
        <v>5</v>
      </c>
      <c r="E13" s="8"/>
      <c r="F13" s="8"/>
      <c r="G13" s="3">
        <v>0.12</v>
      </c>
      <c r="H13" s="8">
        <v>0.1</v>
      </c>
    </row>
    <row r="14" spans="1:8">
      <c r="A14" s="2" t="s">
        <v>457</v>
      </c>
      <c r="B14" s="3" t="s">
        <v>426</v>
      </c>
      <c r="C14" s="8" t="s">
        <v>426</v>
      </c>
      <c r="D14" s="8"/>
      <c r="E14" s="8"/>
      <c r="F14" s="8"/>
      <c r="G14" s="3">
        <v>3.5000000000000003E-2</v>
      </c>
      <c r="H14" s="8"/>
    </row>
    <row r="15" spans="1:8">
      <c r="A15" s="2" t="s">
        <v>458</v>
      </c>
      <c r="B15" s="3" t="s">
        <v>428</v>
      </c>
      <c r="C15" s="8" t="s">
        <v>429</v>
      </c>
      <c r="D15" s="8">
        <v>1</v>
      </c>
      <c r="E15" s="8"/>
      <c r="F15" s="8"/>
      <c r="G15" s="3">
        <v>3.9620000000000002</v>
      </c>
      <c r="H15" s="8">
        <v>1000</v>
      </c>
    </row>
    <row r="16" spans="1:8">
      <c r="A16" s="2" t="s">
        <v>459</v>
      </c>
      <c r="B16" s="3" t="s">
        <v>431</v>
      </c>
      <c r="C16" s="8" t="s">
        <v>429</v>
      </c>
      <c r="D16" s="8">
        <v>2</v>
      </c>
      <c r="E16" s="8"/>
      <c r="F16" s="8"/>
      <c r="G16" s="3">
        <v>3.96</v>
      </c>
      <c r="H16" s="8">
        <v>100</v>
      </c>
    </row>
    <row r="17" spans="1:17">
      <c r="A17" s="2" t="s">
        <v>460</v>
      </c>
      <c r="B17" s="3" t="s">
        <v>434</v>
      </c>
      <c r="C17" s="8" t="s">
        <v>429</v>
      </c>
      <c r="D17" s="8">
        <v>3</v>
      </c>
      <c r="E17" s="8"/>
      <c r="F17" s="8"/>
      <c r="G17" s="6">
        <v>3.5</v>
      </c>
      <c r="H17" s="8">
        <v>10</v>
      </c>
    </row>
    <row r="18" spans="1:17">
      <c r="A18" s="2" t="s">
        <v>461</v>
      </c>
      <c r="B18" s="3" t="s">
        <v>436</v>
      </c>
      <c r="C18" s="8" t="s">
        <v>429</v>
      </c>
      <c r="D18" s="8">
        <v>4</v>
      </c>
      <c r="E18" s="8"/>
      <c r="F18" s="8"/>
      <c r="G18" s="3">
        <v>0.69099999999999995</v>
      </c>
      <c r="H18" s="8">
        <v>1</v>
      </c>
    </row>
    <row r="19" spans="1:17">
      <c r="A19" s="2" t="s">
        <v>462</v>
      </c>
      <c r="B19" s="3" t="s">
        <v>438</v>
      </c>
      <c r="C19" s="8" t="s">
        <v>429</v>
      </c>
      <c r="D19" s="8">
        <v>5</v>
      </c>
      <c r="E19" s="8"/>
      <c r="F19" s="8"/>
      <c r="G19" s="3">
        <v>9.5000000000000001E-2</v>
      </c>
      <c r="H19" s="8">
        <v>0.1</v>
      </c>
    </row>
    <row r="20" spans="1:17">
      <c r="A20" s="2" t="s">
        <v>465</v>
      </c>
      <c r="B20" s="3" t="s">
        <v>466</v>
      </c>
      <c r="C20" s="8" t="s">
        <v>429</v>
      </c>
      <c r="D20" s="8">
        <v>0</v>
      </c>
      <c r="E20" s="8"/>
      <c r="F20" s="8"/>
      <c r="G20" s="3">
        <v>3.9E-2</v>
      </c>
      <c r="H20" s="8">
        <v>0</v>
      </c>
    </row>
    <row r="21" spans="1:17">
      <c r="A21" s="2" t="s">
        <v>467</v>
      </c>
      <c r="B21" s="3" t="s">
        <v>466</v>
      </c>
      <c r="C21" s="8" t="s">
        <v>429</v>
      </c>
      <c r="D21" s="8">
        <v>0</v>
      </c>
      <c r="E21" s="8"/>
      <c r="F21" s="8"/>
      <c r="G21" s="3">
        <v>3.9E-2</v>
      </c>
      <c r="H21" s="8">
        <v>0</v>
      </c>
    </row>
    <row r="22" spans="1:17">
      <c r="A22" s="2" t="s">
        <v>468</v>
      </c>
      <c r="B22" s="3" t="s">
        <v>466</v>
      </c>
      <c r="C22" s="8" t="s">
        <v>429</v>
      </c>
      <c r="D22" s="8">
        <v>0</v>
      </c>
      <c r="E22" s="8"/>
      <c r="F22" s="8"/>
      <c r="G22" s="3">
        <v>3.9E-2</v>
      </c>
      <c r="H22" s="8">
        <v>0</v>
      </c>
    </row>
    <row r="23" spans="1:17">
      <c r="A23" s="2" t="s">
        <v>469</v>
      </c>
      <c r="B23" s="3" t="s">
        <v>470</v>
      </c>
      <c r="C23" s="8" t="s">
        <v>429</v>
      </c>
      <c r="D23" s="8">
        <v>3</v>
      </c>
      <c r="E23" s="8">
        <v>2</v>
      </c>
      <c r="F23" s="8" t="s">
        <v>471</v>
      </c>
      <c r="G23" s="3">
        <v>2.669</v>
      </c>
      <c r="H23" s="8">
        <f>$H$5/E23</f>
        <v>5</v>
      </c>
    </row>
    <row r="24" spans="1:17">
      <c r="A24" s="2" t="s">
        <v>472</v>
      </c>
      <c r="B24" s="3" t="s">
        <v>473</v>
      </c>
      <c r="C24" s="8" t="s">
        <v>429</v>
      </c>
      <c r="D24" s="8">
        <v>3</v>
      </c>
      <c r="E24" s="8">
        <v>2</v>
      </c>
      <c r="F24" s="8" t="s">
        <v>471</v>
      </c>
      <c r="G24" s="3">
        <v>2.3239999999999998</v>
      </c>
      <c r="H24" s="8">
        <f t="shared" ref="H24:H32" si="0">$H$5/E24</f>
        <v>5</v>
      </c>
    </row>
    <row r="25" spans="1:17">
      <c r="A25" s="2" t="s">
        <v>474</v>
      </c>
      <c r="B25" s="3" t="s">
        <v>475</v>
      </c>
      <c r="C25" s="8" t="s">
        <v>429</v>
      </c>
      <c r="D25" s="8">
        <v>3</v>
      </c>
      <c r="E25" s="8">
        <v>2</v>
      </c>
      <c r="F25" s="8" t="s">
        <v>471</v>
      </c>
      <c r="G25" s="3">
        <v>2.1480000000000001</v>
      </c>
      <c r="H25" s="8">
        <f t="shared" si="0"/>
        <v>5</v>
      </c>
    </row>
    <row r="26" spans="1:17">
      <c r="A26" s="2" t="s">
        <v>476</v>
      </c>
      <c r="B26" s="3" t="s">
        <v>477</v>
      </c>
      <c r="C26" s="8" t="s">
        <v>429</v>
      </c>
      <c r="D26" s="8">
        <v>3</v>
      </c>
      <c r="E26" s="8">
        <v>4</v>
      </c>
      <c r="F26" s="8" t="s">
        <v>478</v>
      </c>
      <c r="G26" s="3">
        <v>1.345</v>
      </c>
      <c r="H26" s="8">
        <f t="shared" si="0"/>
        <v>2.5</v>
      </c>
    </row>
    <row r="27" spans="1:17">
      <c r="A27" s="2" t="s">
        <v>479</v>
      </c>
      <c r="B27" s="3" t="s">
        <v>480</v>
      </c>
      <c r="C27" s="8" t="s">
        <v>429</v>
      </c>
      <c r="D27" s="8">
        <v>3</v>
      </c>
      <c r="E27" s="8">
        <v>4</v>
      </c>
      <c r="F27" s="8" t="s">
        <v>478</v>
      </c>
      <c r="G27" s="3">
        <v>1.1579999999999999</v>
      </c>
      <c r="H27" s="8">
        <f t="shared" si="0"/>
        <v>2.5</v>
      </c>
    </row>
    <row r="28" spans="1:17">
      <c r="A28" s="2" t="s">
        <v>481</v>
      </c>
      <c r="B28" s="3" t="s">
        <v>482</v>
      </c>
      <c r="C28" s="8" t="s">
        <v>429</v>
      </c>
      <c r="D28" s="8">
        <v>3</v>
      </c>
      <c r="E28" s="8">
        <v>4</v>
      </c>
      <c r="F28" s="8" t="s">
        <v>478</v>
      </c>
      <c r="G28" s="3">
        <v>1.1020000000000001</v>
      </c>
      <c r="H28" s="8">
        <f t="shared" si="0"/>
        <v>2.5</v>
      </c>
    </row>
    <row r="29" spans="1:17">
      <c r="A29" s="2" t="s">
        <v>483</v>
      </c>
      <c r="B29" s="3" t="s">
        <v>484</v>
      </c>
      <c r="C29" s="8" t="s">
        <v>429</v>
      </c>
      <c r="D29" s="8">
        <v>3</v>
      </c>
      <c r="E29" s="8">
        <v>8</v>
      </c>
      <c r="F29" s="8" t="s">
        <v>485</v>
      </c>
      <c r="G29" s="3">
        <v>0.70899999999999996</v>
      </c>
      <c r="H29" s="8">
        <f t="shared" si="0"/>
        <v>1.25</v>
      </c>
      <c r="Q29" t="e">
        <f>(_xleta.N-0.0951)/0.4565</f>
        <v>#VALUE!</v>
      </c>
    </row>
    <row r="30" spans="1:17">
      <c r="A30" s="2" t="s">
        <v>486</v>
      </c>
      <c r="B30" s="3" t="s">
        <v>487</v>
      </c>
      <c r="C30" s="8" t="s">
        <v>429</v>
      </c>
      <c r="D30" s="8">
        <v>3</v>
      </c>
      <c r="E30" s="8">
        <v>8</v>
      </c>
      <c r="F30" s="8" t="s">
        <v>485</v>
      </c>
      <c r="G30" s="3">
        <v>0.625</v>
      </c>
      <c r="H30" s="8">
        <f t="shared" si="0"/>
        <v>1.25</v>
      </c>
    </row>
    <row r="31" spans="1:17">
      <c r="A31" s="2" t="s">
        <v>488</v>
      </c>
      <c r="B31" s="3" t="s">
        <v>489</v>
      </c>
      <c r="C31" s="8" t="s">
        <v>429</v>
      </c>
      <c r="D31" s="8">
        <v>3</v>
      </c>
      <c r="E31" s="8">
        <v>8</v>
      </c>
      <c r="F31" s="8" t="s">
        <v>485</v>
      </c>
      <c r="G31" s="3">
        <v>0.59099999999999997</v>
      </c>
      <c r="H31" s="8">
        <f t="shared" si="0"/>
        <v>1.25</v>
      </c>
    </row>
    <row r="32" spans="1:17">
      <c r="A32" s="2" t="s">
        <v>490</v>
      </c>
      <c r="B32" s="3" t="s">
        <v>491</v>
      </c>
      <c r="C32" s="8" t="s">
        <v>429</v>
      </c>
      <c r="D32" s="8">
        <v>3</v>
      </c>
      <c r="E32" s="8">
        <v>5</v>
      </c>
      <c r="F32" s="8" t="s">
        <v>492</v>
      </c>
      <c r="G32" s="3">
        <v>0.89400000000000002</v>
      </c>
      <c r="H32" s="8">
        <f t="shared" si="0"/>
        <v>2</v>
      </c>
    </row>
    <row r="33" spans="1:8">
      <c r="A33" s="11" t="s">
        <v>493</v>
      </c>
    </row>
    <row r="34" spans="1:8">
      <c r="A34" s="7" t="s">
        <v>0</v>
      </c>
      <c r="B34" s="2" t="s">
        <v>1</v>
      </c>
      <c r="C34" s="7" t="s">
        <v>1</v>
      </c>
      <c r="D34" s="2" t="s">
        <v>3</v>
      </c>
      <c r="E34" s="2" t="s">
        <v>4</v>
      </c>
      <c r="F34" s="2" t="s">
        <v>6</v>
      </c>
      <c r="G34" s="2" t="s">
        <v>7</v>
      </c>
      <c r="H34" s="2" t="s">
        <v>8</v>
      </c>
    </row>
    <row r="35" spans="1:8">
      <c r="A35" s="2" t="s">
        <v>435</v>
      </c>
      <c r="B35" s="3" t="s">
        <v>436</v>
      </c>
      <c r="C35" s="8" t="s">
        <v>429</v>
      </c>
      <c r="D35" s="8">
        <v>4</v>
      </c>
      <c r="E35" s="3"/>
      <c r="F35" s="3"/>
      <c r="G35" s="3">
        <v>0.69899999999999995</v>
      </c>
      <c r="H35" s="8">
        <v>1</v>
      </c>
    </row>
    <row r="36" spans="1:8">
      <c r="A36" s="2" t="s">
        <v>437</v>
      </c>
      <c r="B36" s="3" t="s">
        <v>438</v>
      </c>
      <c r="C36" s="8" t="s">
        <v>429</v>
      </c>
      <c r="D36" s="8">
        <v>5</v>
      </c>
      <c r="E36" s="3"/>
      <c r="F36" s="3"/>
      <c r="G36" s="3">
        <v>7.3999999999999996E-2</v>
      </c>
      <c r="H36" s="8">
        <v>0.1</v>
      </c>
    </row>
    <row r="37" spans="1:8">
      <c r="A37" s="2" t="s">
        <v>449</v>
      </c>
      <c r="B37" s="3" t="s">
        <v>436</v>
      </c>
      <c r="C37" s="8" t="s">
        <v>429</v>
      </c>
      <c r="D37" s="8">
        <v>4</v>
      </c>
      <c r="E37" s="8"/>
      <c r="F37" s="8"/>
      <c r="G37" s="3">
        <v>0.85699999999999998</v>
      </c>
      <c r="H37" s="8">
        <v>1</v>
      </c>
    </row>
    <row r="38" spans="1:8">
      <c r="A38" s="2" t="s">
        <v>450</v>
      </c>
      <c r="B38" s="3" t="s">
        <v>438</v>
      </c>
      <c r="C38" s="8" t="s">
        <v>429</v>
      </c>
      <c r="D38" s="8">
        <v>5</v>
      </c>
      <c r="E38" s="8"/>
      <c r="F38" s="8"/>
      <c r="G38" s="3">
        <v>0.12</v>
      </c>
      <c r="H38" s="8">
        <v>0.1</v>
      </c>
    </row>
    <row r="39" spans="1:8">
      <c r="A39" s="2" t="s">
        <v>461</v>
      </c>
      <c r="B39" s="3" t="s">
        <v>436</v>
      </c>
      <c r="C39" s="8" t="s">
        <v>429</v>
      </c>
      <c r="D39" s="8">
        <v>4</v>
      </c>
      <c r="E39" s="8"/>
      <c r="F39" s="8"/>
      <c r="G39" s="3">
        <v>0.69099999999999995</v>
      </c>
      <c r="H39" s="8">
        <v>1</v>
      </c>
    </row>
    <row r="40" spans="1:8">
      <c r="A40" s="2" t="s">
        <v>462</v>
      </c>
      <c r="B40" s="3" t="s">
        <v>438</v>
      </c>
      <c r="C40" s="8" t="s">
        <v>429</v>
      </c>
      <c r="D40" s="8">
        <v>5</v>
      </c>
      <c r="E40" s="8"/>
      <c r="F40" s="8"/>
      <c r="G40" s="3">
        <v>9.5000000000000001E-2</v>
      </c>
      <c r="H40" s="8">
        <v>0.1</v>
      </c>
    </row>
    <row r="41" spans="1:8">
      <c r="A41" s="2" t="s">
        <v>465</v>
      </c>
      <c r="B41" s="3" t="s">
        <v>466</v>
      </c>
      <c r="C41" s="8" t="s">
        <v>429</v>
      </c>
      <c r="D41" s="8">
        <v>0</v>
      </c>
      <c r="E41" s="8"/>
      <c r="F41" s="8"/>
      <c r="G41" s="3">
        <v>3.9E-2</v>
      </c>
      <c r="H41" s="8">
        <v>0</v>
      </c>
    </row>
    <row r="42" spans="1:8">
      <c r="A42" s="2" t="s">
        <v>467</v>
      </c>
      <c r="B42" s="3" t="s">
        <v>466</v>
      </c>
      <c r="C42" s="8" t="s">
        <v>429</v>
      </c>
      <c r="D42" s="8">
        <v>0</v>
      </c>
      <c r="E42" s="8"/>
      <c r="F42" s="8"/>
      <c r="G42" s="3">
        <v>3.9E-2</v>
      </c>
      <c r="H42" s="8">
        <v>0</v>
      </c>
    </row>
    <row r="43" spans="1:8">
      <c r="A43" s="2" t="s">
        <v>468</v>
      </c>
      <c r="B43" s="3" t="s">
        <v>466</v>
      </c>
      <c r="C43" s="8" t="s">
        <v>429</v>
      </c>
      <c r="D43" s="8">
        <v>0</v>
      </c>
      <c r="E43" s="8"/>
      <c r="F43" s="8"/>
      <c r="G43" s="3">
        <v>3.9E-2</v>
      </c>
      <c r="H43" s="8">
        <v>0</v>
      </c>
    </row>
    <row r="44" spans="1:8">
      <c r="A44" s="2" t="s">
        <v>476</v>
      </c>
      <c r="B44" s="3" t="s">
        <v>477</v>
      </c>
      <c r="C44" s="8" t="s">
        <v>429</v>
      </c>
      <c r="D44" s="8">
        <v>3</v>
      </c>
      <c r="E44" s="8">
        <v>4</v>
      </c>
      <c r="F44" s="8" t="s">
        <v>478</v>
      </c>
      <c r="G44" s="3">
        <v>1.345</v>
      </c>
      <c r="H44" s="8">
        <f t="shared" ref="H44:H50" si="1">$H$5/E44</f>
        <v>2.5</v>
      </c>
    </row>
    <row r="45" spans="1:8">
      <c r="A45" s="2" t="s">
        <v>479</v>
      </c>
      <c r="B45" s="3" t="s">
        <v>480</v>
      </c>
      <c r="C45" s="8" t="s">
        <v>429</v>
      </c>
      <c r="D45" s="8">
        <v>3</v>
      </c>
      <c r="E45" s="8">
        <v>4</v>
      </c>
      <c r="F45" s="8" t="s">
        <v>478</v>
      </c>
      <c r="G45" s="3">
        <v>1.1579999999999999</v>
      </c>
      <c r="H45" s="8">
        <f t="shared" si="1"/>
        <v>2.5</v>
      </c>
    </row>
    <row r="46" spans="1:8">
      <c r="A46" s="2" t="s">
        <v>481</v>
      </c>
      <c r="B46" s="3" t="s">
        <v>482</v>
      </c>
      <c r="C46" s="8" t="s">
        <v>429</v>
      </c>
      <c r="D46" s="8">
        <v>3</v>
      </c>
      <c r="E46" s="8">
        <v>4</v>
      </c>
      <c r="F46" s="8" t="s">
        <v>478</v>
      </c>
      <c r="G46" s="3">
        <v>1.1020000000000001</v>
      </c>
      <c r="H46" s="8">
        <f t="shared" si="1"/>
        <v>2.5</v>
      </c>
    </row>
    <row r="47" spans="1:8">
      <c r="A47" s="2" t="s">
        <v>483</v>
      </c>
      <c r="B47" s="3" t="s">
        <v>484</v>
      </c>
      <c r="C47" s="8" t="s">
        <v>429</v>
      </c>
      <c r="D47" s="8">
        <v>3</v>
      </c>
      <c r="E47" s="8">
        <v>8</v>
      </c>
      <c r="F47" s="8" t="s">
        <v>485</v>
      </c>
      <c r="G47" s="3">
        <v>0.70899999999999996</v>
      </c>
      <c r="H47" s="8">
        <f t="shared" si="1"/>
        <v>1.25</v>
      </c>
    </row>
    <row r="48" spans="1:8">
      <c r="A48" s="2" t="s">
        <v>486</v>
      </c>
      <c r="B48" s="3" t="s">
        <v>487</v>
      </c>
      <c r="C48" s="8" t="s">
        <v>429</v>
      </c>
      <c r="D48" s="8">
        <v>3</v>
      </c>
      <c r="E48" s="8">
        <v>8</v>
      </c>
      <c r="F48" s="8" t="s">
        <v>485</v>
      </c>
      <c r="G48" s="3">
        <v>0.625</v>
      </c>
      <c r="H48" s="8">
        <f t="shared" si="1"/>
        <v>1.25</v>
      </c>
    </row>
    <row r="49" spans="1:8">
      <c r="A49" s="2" t="s">
        <v>488</v>
      </c>
      <c r="B49" s="3" t="s">
        <v>489</v>
      </c>
      <c r="C49" s="8" t="s">
        <v>429</v>
      </c>
      <c r="D49" s="8">
        <v>3</v>
      </c>
      <c r="E49" s="8">
        <v>8</v>
      </c>
      <c r="F49" s="8" t="s">
        <v>485</v>
      </c>
      <c r="G49" s="3">
        <v>0.59099999999999997</v>
      </c>
      <c r="H49" s="8">
        <f t="shared" si="1"/>
        <v>1.25</v>
      </c>
    </row>
    <row r="50" spans="1:8">
      <c r="A50" s="2" t="s">
        <v>490</v>
      </c>
      <c r="B50" s="3" t="s">
        <v>491</v>
      </c>
      <c r="C50" s="8" t="s">
        <v>429</v>
      </c>
      <c r="D50" s="8">
        <v>3</v>
      </c>
      <c r="E50" s="8">
        <v>5</v>
      </c>
      <c r="F50" s="8" t="s">
        <v>492</v>
      </c>
      <c r="G50" s="3">
        <v>0.89400000000000002</v>
      </c>
      <c r="H50" s="8">
        <f t="shared" si="1"/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AA8B-7872-4A30-AF41-56740A20EBAD}">
  <sheetPr>
    <pageSetUpPr fitToPage="1"/>
  </sheetPr>
  <dimension ref="A1:M15"/>
  <sheetViews>
    <sheetView workbookViewId="0">
      <selection sqref="A1:M9"/>
    </sheetView>
  </sheetViews>
  <sheetFormatPr defaultColWidth="10.7109375" defaultRowHeight="15"/>
  <cols>
    <col min="1" max="1" width="9.140625" style="5" customWidth="1"/>
  </cols>
  <sheetData>
    <row r="1" spans="1:13" s="1" customFormat="1" ht="20.100000000000001" customHeight="1">
      <c r="A1" s="2" t="s">
        <v>494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39.950000000000003" customHeight="1">
      <c r="A2" s="2" t="s">
        <v>495</v>
      </c>
      <c r="B2" s="3" t="s">
        <v>426</v>
      </c>
      <c r="C2" s="3" t="s">
        <v>428</v>
      </c>
      <c r="D2" s="3" t="s">
        <v>431</v>
      </c>
      <c r="E2" s="3" t="s">
        <v>434</v>
      </c>
      <c r="F2" s="3" t="s">
        <v>436</v>
      </c>
      <c r="G2" s="3" t="s">
        <v>438</v>
      </c>
      <c r="H2" s="3" t="s">
        <v>12</v>
      </c>
      <c r="I2" s="3" t="s">
        <v>16</v>
      </c>
      <c r="J2" s="3" t="s">
        <v>18</v>
      </c>
      <c r="K2" s="3" t="s">
        <v>20</v>
      </c>
      <c r="L2" s="3" t="s">
        <v>24</v>
      </c>
      <c r="M2" s="3" t="s">
        <v>26</v>
      </c>
    </row>
    <row r="3" spans="1:13" ht="39.950000000000003" customHeight="1">
      <c r="A3" s="2" t="s">
        <v>496</v>
      </c>
      <c r="B3" s="3" t="s">
        <v>28</v>
      </c>
      <c r="C3" s="3" t="s">
        <v>32</v>
      </c>
      <c r="D3" s="3" t="s">
        <v>34</v>
      </c>
      <c r="E3" s="3" t="s">
        <v>36</v>
      </c>
      <c r="F3" s="3" t="s">
        <v>40</v>
      </c>
      <c r="G3" s="3" t="s">
        <v>42</v>
      </c>
      <c r="H3" s="3" t="s">
        <v>44</v>
      </c>
      <c r="I3" s="3" t="s">
        <v>48</v>
      </c>
      <c r="J3" s="3" t="s">
        <v>50</v>
      </c>
      <c r="K3" s="3" t="s">
        <v>52</v>
      </c>
      <c r="L3" s="3" t="s">
        <v>54</v>
      </c>
      <c r="M3" s="3" t="s">
        <v>56</v>
      </c>
    </row>
    <row r="4" spans="1:13" ht="39.950000000000003" customHeight="1">
      <c r="A4" s="2" t="s">
        <v>497</v>
      </c>
      <c r="B4" s="3" t="s">
        <v>58</v>
      </c>
      <c r="C4" s="3" t="s">
        <v>60</v>
      </c>
      <c r="D4" s="3" t="s">
        <v>62</v>
      </c>
      <c r="E4" s="3" t="s">
        <v>64</v>
      </c>
      <c r="F4" s="3" t="s">
        <v>66</v>
      </c>
      <c r="G4" s="3" t="s">
        <v>68</v>
      </c>
      <c r="H4" s="3" t="s">
        <v>70</v>
      </c>
      <c r="I4" s="3" t="s">
        <v>72</v>
      </c>
      <c r="J4" s="3" t="s">
        <v>74</v>
      </c>
      <c r="K4" s="3" t="s">
        <v>76</v>
      </c>
      <c r="L4" s="3" t="s">
        <v>78</v>
      </c>
      <c r="M4" s="3" t="s">
        <v>80</v>
      </c>
    </row>
    <row r="5" spans="1:13" ht="39.950000000000003" customHeight="1">
      <c r="A5" s="2" t="s">
        <v>498</v>
      </c>
      <c r="B5" s="3" t="s">
        <v>82</v>
      </c>
      <c r="C5" s="3" t="s">
        <v>84</v>
      </c>
      <c r="D5" s="3" t="s">
        <v>86</v>
      </c>
      <c r="E5" s="3" t="s">
        <v>88</v>
      </c>
      <c r="F5" s="3" t="s">
        <v>90</v>
      </c>
      <c r="G5" s="3" t="s">
        <v>92</v>
      </c>
      <c r="H5" s="3" t="s">
        <v>94</v>
      </c>
      <c r="I5" s="3" t="s">
        <v>96</v>
      </c>
      <c r="J5" s="3" t="s">
        <v>98</v>
      </c>
      <c r="K5" s="3" t="s">
        <v>415</v>
      </c>
      <c r="L5" s="3" t="s">
        <v>100</v>
      </c>
      <c r="M5" s="3" t="s">
        <v>102</v>
      </c>
    </row>
    <row r="6" spans="1:13" ht="39.950000000000003" customHeight="1">
      <c r="A6" s="2" t="s">
        <v>499</v>
      </c>
      <c r="B6" s="3" t="s">
        <v>104</v>
      </c>
      <c r="C6" s="3" t="s">
        <v>106</v>
      </c>
      <c r="D6" s="3" t="s">
        <v>108</v>
      </c>
      <c r="E6" s="3" t="s">
        <v>110</v>
      </c>
      <c r="F6" s="3" t="s">
        <v>112</v>
      </c>
      <c r="G6" s="3" t="s">
        <v>114</v>
      </c>
      <c r="H6" s="3" t="s">
        <v>116</v>
      </c>
      <c r="I6" s="3" t="s">
        <v>118</v>
      </c>
      <c r="J6" s="3" t="s">
        <v>120</v>
      </c>
      <c r="K6" s="3" t="s">
        <v>122</v>
      </c>
      <c r="L6" s="3" t="s">
        <v>124</v>
      </c>
      <c r="M6" s="3" t="s">
        <v>126</v>
      </c>
    </row>
    <row r="7" spans="1:13" ht="39.950000000000003" customHeight="1">
      <c r="A7" s="2" t="s">
        <v>500</v>
      </c>
      <c r="B7" s="3" t="s">
        <v>128</v>
      </c>
      <c r="C7" s="3" t="s">
        <v>130</v>
      </c>
      <c r="D7" s="3" t="s">
        <v>132</v>
      </c>
      <c r="E7" s="3" t="s">
        <v>134</v>
      </c>
      <c r="F7" s="3" t="s">
        <v>136</v>
      </c>
      <c r="G7" s="3" t="s">
        <v>138</v>
      </c>
      <c r="H7" s="3" t="s">
        <v>140</v>
      </c>
      <c r="I7" s="3" t="s">
        <v>142</v>
      </c>
      <c r="J7" s="3" t="s">
        <v>144</v>
      </c>
      <c r="K7" s="3" t="s">
        <v>146</v>
      </c>
      <c r="L7" s="3" t="s">
        <v>148</v>
      </c>
      <c r="M7" s="3" t="s">
        <v>150</v>
      </c>
    </row>
    <row r="8" spans="1:13" ht="39.950000000000003" customHeight="1">
      <c r="A8" s="2" t="s">
        <v>501</v>
      </c>
      <c r="B8" s="3" t="s">
        <v>152</v>
      </c>
      <c r="C8" s="3" t="s">
        <v>154</v>
      </c>
      <c r="D8" s="3" t="s">
        <v>156</v>
      </c>
      <c r="E8" s="3" t="s">
        <v>158</v>
      </c>
      <c r="F8" s="3" t="s">
        <v>160</v>
      </c>
      <c r="G8" s="3" t="s">
        <v>162</v>
      </c>
      <c r="H8" s="3" t="s">
        <v>164</v>
      </c>
      <c r="I8" s="3" t="s">
        <v>166</v>
      </c>
      <c r="J8" s="3" t="s">
        <v>168</v>
      </c>
      <c r="K8" s="3" t="s">
        <v>170</v>
      </c>
      <c r="L8" s="3" t="s">
        <v>172</v>
      </c>
      <c r="M8" s="3" t="s">
        <v>174</v>
      </c>
    </row>
    <row r="9" spans="1:13" ht="39.950000000000003" customHeight="1">
      <c r="A9" s="2" t="s">
        <v>502</v>
      </c>
      <c r="B9" s="3" t="s">
        <v>176</v>
      </c>
      <c r="C9" s="3" t="s">
        <v>178</v>
      </c>
      <c r="D9" s="3" t="s">
        <v>180</v>
      </c>
      <c r="E9" s="3" t="s">
        <v>182</v>
      </c>
      <c r="F9" s="3" t="s">
        <v>184</v>
      </c>
      <c r="G9" s="3" t="s">
        <v>186</v>
      </c>
      <c r="H9" s="3" t="s">
        <v>188</v>
      </c>
      <c r="I9" s="3" t="s">
        <v>190</v>
      </c>
      <c r="J9" s="3" t="s">
        <v>192</v>
      </c>
      <c r="K9" s="3" t="s">
        <v>194</v>
      </c>
      <c r="L9" s="3" t="s">
        <v>196</v>
      </c>
      <c r="M9" s="3" t="s">
        <v>198</v>
      </c>
    </row>
    <row r="11" spans="1:13">
      <c r="A11" t="s">
        <v>503</v>
      </c>
      <c r="B11">
        <v>1000</v>
      </c>
      <c r="C11" t="s">
        <v>504</v>
      </c>
    </row>
    <row r="12" spans="1:13">
      <c r="A12" t="s">
        <v>505</v>
      </c>
      <c r="B12">
        <v>100</v>
      </c>
      <c r="C12" t="s">
        <v>504</v>
      </c>
    </row>
    <row r="13" spans="1:13">
      <c r="A13" t="s">
        <v>506</v>
      </c>
      <c r="B13">
        <v>10</v>
      </c>
      <c r="C13" t="s">
        <v>504</v>
      </c>
    </row>
    <row r="14" spans="1:13">
      <c r="A14" t="s">
        <v>507</v>
      </c>
      <c r="B14">
        <v>1</v>
      </c>
      <c r="C14" t="s">
        <v>504</v>
      </c>
    </row>
    <row r="15" spans="1:13">
      <c r="A15" t="s">
        <v>508</v>
      </c>
      <c r="B15">
        <v>0.1</v>
      </c>
      <c r="C15" t="s">
        <v>504</v>
      </c>
    </row>
  </sheetData>
  <pageMargins left="0.7" right="0.7" top="0.75" bottom="0.75" header="0.3" footer="0.3"/>
  <pageSetup scale="8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374E-8A17-4849-8F99-2BF0647F3B61}">
  <sheetPr>
    <pageSetUpPr fitToPage="1"/>
  </sheetPr>
  <dimension ref="A1:M15"/>
  <sheetViews>
    <sheetView workbookViewId="0">
      <selection activeCell="E13" sqref="E13"/>
    </sheetView>
  </sheetViews>
  <sheetFormatPr defaultColWidth="10.7109375" defaultRowHeight="15"/>
  <cols>
    <col min="1" max="1" width="9.140625" style="5" customWidth="1"/>
  </cols>
  <sheetData>
    <row r="1" spans="1:13" s="1" customFormat="1" ht="20.100000000000001" customHeight="1">
      <c r="A1" s="2" t="s">
        <v>494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39.950000000000003" customHeight="1">
      <c r="A2" s="2" t="s">
        <v>495</v>
      </c>
      <c r="B2" s="3">
        <v>3.5000000000000003E-2</v>
      </c>
      <c r="C2" s="3">
        <v>3.9860000000000002</v>
      </c>
      <c r="D2" s="3" t="s">
        <v>432</v>
      </c>
      <c r="E2" s="6">
        <v>3.8969999999999998</v>
      </c>
      <c r="F2" s="3">
        <v>0.69899999999999995</v>
      </c>
      <c r="G2" s="3">
        <v>7.3999999999999996E-2</v>
      </c>
      <c r="H2" s="3">
        <v>5.5E-2</v>
      </c>
      <c r="I2" s="3">
        <v>5.6000000000000001E-2</v>
      </c>
      <c r="J2" s="3">
        <v>0.39200000000000002</v>
      </c>
      <c r="K2" s="3">
        <v>0.24199999999999999</v>
      </c>
      <c r="L2" s="3">
        <v>8.6999999999999994E-2</v>
      </c>
      <c r="M2" s="3">
        <v>0.106</v>
      </c>
    </row>
    <row r="3" spans="1:13" ht="39.950000000000003" customHeight="1">
      <c r="A3" s="2" t="s">
        <v>496</v>
      </c>
      <c r="B3" s="3">
        <v>5.3999999999999999E-2</v>
      </c>
      <c r="C3" s="3">
        <v>0.17499999999999999</v>
      </c>
      <c r="D3" s="3">
        <v>0.19500000000000001</v>
      </c>
      <c r="E3" s="3">
        <v>0.56599999999999995</v>
      </c>
      <c r="F3" s="3">
        <v>0.622</v>
      </c>
      <c r="G3" s="3">
        <v>0.622</v>
      </c>
      <c r="H3" s="3">
        <v>0.22600000000000001</v>
      </c>
      <c r="I3" s="3">
        <v>0.252</v>
      </c>
      <c r="J3" s="3">
        <v>0.26700000000000002</v>
      </c>
      <c r="K3" s="3">
        <v>9.2999999999999999E-2</v>
      </c>
      <c r="L3" s="3">
        <v>4.5999999999999999E-2</v>
      </c>
      <c r="M3" s="3">
        <v>4.7E-2</v>
      </c>
    </row>
    <row r="4" spans="1:13" ht="39.950000000000003" customHeight="1">
      <c r="A4" s="2" t="s">
        <v>497</v>
      </c>
      <c r="B4" s="3">
        <v>0.155</v>
      </c>
      <c r="C4" s="3">
        <v>6.3E-2</v>
      </c>
      <c r="D4" s="3">
        <v>0.06</v>
      </c>
      <c r="E4" s="3">
        <v>7.0000000000000007E-2</v>
      </c>
      <c r="F4" s="3">
        <v>7.0999999999999994E-2</v>
      </c>
      <c r="G4" s="3">
        <v>5.5E-2</v>
      </c>
      <c r="H4" s="3">
        <v>0.95199999999999996</v>
      </c>
      <c r="I4" s="3">
        <v>0.71099999999999997</v>
      </c>
      <c r="J4" s="3">
        <v>0.92100000000000004</v>
      </c>
      <c r="K4" s="3">
        <v>9.4E-2</v>
      </c>
      <c r="L4" s="3">
        <v>0.10299999999999999</v>
      </c>
      <c r="M4" s="3">
        <v>0.13</v>
      </c>
    </row>
    <row r="5" spans="1:13" ht="39.950000000000003" customHeight="1">
      <c r="A5" s="2" t="s">
        <v>498</v>
      </c>
      <c r="B5" s="3">
        <v>6.0999999999999999E-2</v>
      </c>
      <c r="C5" s="3">
        <v>5.3999999999999999E-2</v>
      </c>
      <c r="D5" s="3">
        <v>0.06</v>
      </c>
      <c r="E5" s="3">
        <v>0.14000000000000001</v>
      </c>
      <c r="F5" s="3">
        <v>8.4000000000000005E-2</v>
      </c>
      <c r="G5" s="3">
        <v>5.1999999999999998E-2</v>
      </c>
      <c r="H5" s="3">
        <v>0.06</v>
      </c>
      <c r="I5" s="3">
        <v>7.3999999999999996E-2</v>
      </c>
      <c r="J5" s="3">
        <v>0.10100000000000001</v>
      </c>
      <c r="K5" s="6">
        <v>1.0189999999999999</v>
      </c>
      <c r="L5" s="3">
        <v>0.89700000000000002</v>
      </c>
      <c r="M5" s="3">
        <v>0.69399999999999995</v>
      </c>
    </row>
    <row r="6" spans="1:13" ht="39.950000000000003" customHeight="1">
      <c r="A6" s="2" t="s">
        <v>499</v>
      </c>
      <c r="B6" s="3">
        <v>0.151</v>
      </c>
      <c r="C6" s="3">
        <v>5.6000000000000001E-2</v>
      </c>
      <c r="D6" s="3">
        <v>7.0000000000000007E-2</v>
      </c>
      <c r="E6" s="3">
        <v>5.8000000000000003E-2</v>
      </c>
      <c r="F6" s="3">
        <v>5.7000000000000002E-2</v>
      </c>
      <c r="G6" s="3">
        <v>5.6000000000000001E-2</v>
      </c>
      <c r="H6" s="3">
        <v>0.14799999999999999</v>
      </c>
      <c r="I6" s="3">
        <v>0.153</v>
      </c>
      <c r="J6" s="3">
        <v>0.14599999999999999</v>
      </c>
      <c r="K6" s="3">
        <v>6.6000000000000003E-2</v>
      </c>
      <c r="L6" s="3">
        <v>7.8E-2</v>
      </c>
      <c r="M6" s="3">
        <v>8.4000000000000005E-2</v>
      </c>
    </row>
    <row r="7" spans="1:13" ht="39.950000000000003" customHeight="1">
      <c r="A7" s="2" t="s">
        <v>500</v>
      </c>
      <c r="B7" s="3">
        <v>0.85899999999999999</v>
      </c>
      <c r="C7" s="3">
        <v>0.71</v>
      </c>
      <c r="D7" s="3">
        <v>0.68600000000000005</v>
      </c>
      <c r="E7" s="3">
        <v>0.17199999999999999</v>
      </c>
      <c r="F7" s="3">
        <v>0.17</v>
      </c>
      <c r="G7" s="3">
        <v>0.19</v>
      </c>
      <c r="H7" s="3">
        <v>5.8000000000000003E-2</v>
      </c>
      <c r="I7" s="3">
        <v>5.1999999999999998E-2</v>
      </c>
      <c r="J7" s="3">
        <v>5.2999999999999999E-2</v>
      </c>
      <c r="K7" s="3">
        <v>0.309</v>
      </c>
      <c r="L7" s="3">
        <v>0.25</v>
      </c>
      <c r="M7" s="3">
        <v>0.30299999999999999</v>
      </c>
    </row>
    <row r="8" spans="1:13" ht="39.950000000000003" customHeight="1">
      <c r="A8" s="2" t="s">
        <v>501</v>
      </c>
      <c r="B8" s="3">
        <v>6.7000000000000004E-2</v>
      </c>
      <c r="C8" s="3">
        <v>7.5999999999999998E-2</v>
      </c>
      <c r="D8" s="3">
        <v>0.11</v>
      </c>
      <c r="E8" s="3">
        <v>0.73</v>
      </c>
      <c r="F8" s="3">
        <v>0.60799999999999998</v>
      </c>
      <c r="G8" s="3">
        <v>0.72899999999999998</v>
      </c>
      <c r="H8" s="3">
        <v>0.2</v>
      </c>
      <c r="I8" s="3">
        <v>0.26700000000000002</v>
      </c>
      <c r="J8" s="3">
        <v>0.14099999999999999</v>
      </c>
      <c r="K8" s="3">
        <v>5.7000000000000002E-2</v>
      </c>
      <c r="L8" s="3">
        <v>5.7000000000000002E-2</v>
      </c>
      <c r="M8" s="3">
        <v>5.3999999999999999E-2</v>
      </c>
    </row>
    <row r="9" spans="1:13" ht="39.950000000000003" customHeight="1">
      <c r="A9" s="2" t="s">
        <v>502</v>
      </c>
      <c r="B9" s="3">
        <v>0.26</v>
      </c>
      <c r="C9" s="3">
        <v>0.20799999999999999</v>
      </c>
      <c r="D9" s="3">
        <v>0.23400000000000001</v>
      </c>
      <c r="E9" s="3">
        <v>6.8000000000000005E-2</v>
      </c>
      <c r="F9" s="3">
        <v>6.3E-2</v>
      </c>
      <c r="G9" s="3">
        <v>0.108</v>
      </c>
      <c r="H9" s="3">
        <v>0.8</v>
      </c>
      <c r="I9" s="3">
        <v>0.88600000000000001</v>
      </c>
      <c r="J9" s="3">
        <v>0.61399999999999999</v>
      </c>
      <c r="K9" s="3">
        <v>0.26</v>
      </c>
      <c r="L9" s="3">
        <v>0.104</v>
      </c>
      <c r="M9" s="3">
        <v>0.23400000000000001</v>
      </c>
    </row>
    <row r="11" spans="1:13">
      <c r="A11" t="s">
        <v>503</v>
      </c>
      <c r="B11">
        <v>1000</v>
      </c>
      <c r="C11" t="s">
        <v>504</v>
      </c>
    </row>
    <row r="12" spans="1:13">
      <c r="A12" t="s">
        <v>505</v>
      </c>
      <c r="B12">
        <v>100</v>
      </c>
      <c r="C12" t="s">
        <v>504</v>
      </c>
    </row>
    <row r="13" spans="1:13">
      <c r="A13" t="s">
        <v>506</v>
      </c>
      <c r="B13">
        <v>10</v>
      </c>
      <c r="C13" t="s">
        <v>504</v>
      </c>
    </row>
    <row r="14" spans="1:13">
      <c r="A14" t="s">
        <v>507</v>
      </c>
      <c r="B14">
        <v>1</v>
      </c>
      <c r="C14" t="s">
        <v>504</v>
      </c>
    </row>
    <row r="15" spans="1:13">
      <c r="A15" t="s">
        <v>508</v>
      </c>
      <c r="B15">
        <v>0.1</v>
      </c>
      <c r="C15" t="s">
        <v>504</v>
      </c>
    </row>
  </sheetData>
  <pageMargins left="0.7" right="0.7" top="0.75" bottom="0.75" header="0.3" footer="0.3"/>
  <pageSetup scale="8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4678-4896-44E2-933F-B7E353A76251}">
  <sheetPr>
    <pageSetUpPr fitToPage="1"/>
  </sheetPr>
  <dimension ref="A1:M15"/>
  <sheetViews>
    <sheetView workbookViewId="0">
      <selection activeCell="B2" sqref="B2:M9"/>
    </sheetView>
  </sheetViews>
  <sheetFormatPr defaultColWidth="10.7109375" defaultRowHeight="15"/>
  <cols>
    <col min="1" max="1" width="10.7109375" style="1"/>
  </cols>
  <sheetData>
    <row r="1" spans="1:13" s="5" customFormat="1" ht="20.100000000000001" customHeight="1">
      <c r="A1" s="2" t="s">
        <v>509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s="4" customFormat="1" ht="39.950000000000003" customHeight="1">
      <c r="A2" s="2" t="s">
        <v>495</v>
      </c>
      <c r="B2" s="3" t="s">
        <v>426</v>
      </c>
      <c r="C2" s="3" t="s">
        <v>428</v>
      </c>
      <c r="D2" s="3" t="s">
        <v>431</v>
      </c>
      <c r="E2" s="3" t="s">
        <v>434</v>
      </c>
      <c r="F2" s="3" t="s">
        <v>436</v>
      </c>
      <c r="G2" s="3" t="s">
        <v>438</v>
      </c>
      <c r="H2" s="3" t="s">
        <v>200</v>
      </c>
      <c r="I2" s="3" t="s">
        <v>202</v>
      </c>
      <c r="J2" s="3" t="s">
        <v>204</v>
      </c>
      <c r="K2" s="3" t="s">
        <v>206</v>
      </c>
      <c r="L2" s="3" t="s">
        <v>208</v>
      </c>
      <c r="M2" s="3" t="s">
        <v>210</v>
      </c>
    </row>
    <row r="3" spans="1:13" s="4" customFormat="1" ht="39.950000000000003" customHeight="1">
      <c r="A3" s="2" t="s">
        <v>496</v>
      </c>
      <c r="B3" s="3" t="s">
        <v>212</v>
      </c>
      <c r="C3" s="3" t="s">
        <v>214</v>
      </c>
      <c r="D3" s="3" t="s">
        <v>216</v>
      </c>
      <c r="E3" s="3" t="s">
        <v>218</v>
      </c>
      <c r="F3" s="3" t="s">
        <v>220</v>
      </c>
      <c r="G3" s="3" t="s">
        <v>222</v>
      </c>
      <c r="H3" s="3" t="s">
        <v>224</v>
      </c>
      <c r="I3" s="3" t="s">
        <v>226</v>
      </c>
      <c r="J3" s="3" t="s">
        <v>228</v>
      </c>
      <c r="K3" s="3" t="s">
        <v>230</v>
      </c>
      <c r="L3" s="3" t="s">
        <v>232</v>
      </c>
      <c r="M3" s="3" t="s">
        <v>234</v>
      </c>
    </row>
    <row r="4" spans="1:13" s="4" customFormat="1" ht="39.950000000000003" customHeight="1">
      <c r="A4" s="2" t="s">
        <v>497</v>
      </c>
      <c r="B4" s="3" t="s">
        <v>236</v>
      </c>
      <c r="C4" s="3" t="s">
        <v>238</v>
      </c>
      <c r="D4" s="3" t="s">
        <v>240</v>
      </c>
      <c r="E4" s="3" t="s">
        <v>242</v>
      </c>
      <c r="F4" s="3" t="s">
        <v>244</v>
      </c>
      <c r="G4" s="3" t="s">
        <v>246</v>
      </c>
      <c r="H4" s="3" t="s">
        <v>248</v>
      </c>
      <c r="I4" s="3" t="s">
        <v>250</v>
      </c>
      <c r="J4" s="3" t="s">
        <v>252</v>
      </c>
      <c r="K4" s="3" t="s">
        <v>254</v>
      </c>
      <c r="L4" s="3" t="s">
        <v>256</v>
      </c>
      <c r="M4" s="3" t="s">
        <v>258</v>
      </c>
    </row>
    <row r="5" spans="1:13" s="4" customFormat="1" ht="39.950000000000003" customHeight="1">
      <c r="A5" s="2" t="s">
        <v>498</v>
      </c>
      <c r="B5" s="3" t="s">
        <v>260</v>
      </c>
      <c r="C5" s="3" t="s">
        <v>262</v>
      </c>
      <c r="D5" s="3" t="s">
        <v>264</v>
      </c>
      <c r="E5" s="3" t="s">
        <v>266</v>
      </c>
      <c r="F5" s="3" t="s">
        <v>268</v>
      </c>
      <c r="G5" s="3" t="s">
        <v>270</v>
      </c>
      <c r="H5" s="3" t="s">
        <v>272</v>
      </c>
      <c r="I5" s="3" t="s">
        <v>274</v>
      </c>
      <c r="J5" s="3" t="s">
        <v>276</v>
      </c>
      <c r="K5" s="3" t="s">
        <v>278</v>
      </c>
      <c r="L5" s="3" t="s">
        <v>280</v>
      </c>
      <c r="M5" s="3" t="s">
        <v>282</v>
      </c>
    </row>
    <row r="6" spans="1:13" s="4" customFormat="1" ht="39.950000000000003" customHeight="1">
      <c r="A6" s="2" t="s">
        <v>499</v>
      </c>
      <c r="B6" s="3" t="s">
        <v>284</v>
      </c>
      <c r="C6" s="3" t="s">
        <v>286</v>
      </c>
      <c r="D6" s="3" t="s">
        <v>288</v>
      </c>
      <c r="E6" s="3" t="s">
        <v>290</v>
      </c>
      <c r="F6" s="3" t="s">
        <v>292</v>
      </c>
      <c r="G6" s="3" t="s">
        <v>294</v>
      </c>
      <c r="H6" s="3" t="s">
        <v>296</v>
      </c>
      <c r="I6" s="3" t="s">
        <v>298</v>
      </c>
      <c r="J6" s="3" t="s">
        <v>300</v>
      </c>
      <c r="K6" s="3" t="s">
        <v>302</v>
      </c>
      <c r="L6" s="3" t="s">
        <v>304</v>
      </c>
      <c r="M6" s="3" t="s">
        <v>306</v>
      </c>
    </row>
    <row r="7" spans="1:13" s="4" customFormat="1" ht="39.950000000000003" customHeight="1">
      <c r="A7" s="2" t="s">
        <v>500</v>
      </c>
      <c r="B7" s="3" t="s">
        <v>308</v>
      </c>
      <c r="C7" s="3" t="s">
        <v>310</v>
      </c>
      <c r="D7" s="3" t="s">
        <v>312</v>
      </c>
      <c r="E7" s="3" t="s">
        <v>314</v>
      </c>
      <c r="F7" s="3" t="s">
        <v>316</v>
      </c>
      <c r="G7" s="3" t="s">
        <v>318</v>
      </c>
      <c r="H7" s="3" t="s">
        <v>320</v>
      </c>
      <c r="I7" s="3" t="s">
        <v>322</v>
      </c>
      <c r="J7" s="3" t="s">
        <v>324</v>
      </c>
      <c r="K7" s="3" t="s">
        <v>326</v>
      </c>
      <c r="L7" s="3" t="s">
        <v>328</v>
      </c>
      <c r="M7" s="3" t="s">
        <v>330</v>
      </c>
    </row>
    <row r="8" spans="1:13" s="4" customFormat="1" ht="39.950000000000003" customHeight="1">
      <c r="A8" s="2" t="s">
        <v>501</v>
      </c>
      <c r="B8" s="3" t="s">
        <v>332</v>
      </c>
      <c r="C8" s="3" t="s">
        <v>334</v>
      </c>
      <c r="D8" s="3" t="s">
        <v>336</v>
      </c>
      <c r="E8" s="3" t="s">
        <v>338</v>
      </c>
      <c r="F8" s="3" t="s">
        <v>340</v>
      </c>
      <c r="G8" s="3" t="s">
        <v>342</v>
      </c>
      <c r="H8" s="3" t="s">
        <v>344</v>
      </c>
      <c r="I8" s="3" t="s">
        <v>346</v>
      </c>
      <c r="J8" s="3" t="s">
        <v>348</v>
      </c>
      <c r="K8" s="3" t="s">
        <v>350</v>
      </c>
      <c r="L8" s="3" t="s">
        <v>352</v>
      </c>
      <c r="M8" s="3" t="s">
        <v>354</v>
      </c>
    </row>
    <row r="9" spans="1:13" s="4" customFormat="1" ht="39.950000000000003" customHeight="1">
      <c r="A9" s="2" t="s">
        <v>502</v>
      </c>
      <c r="B9" s="3" t="s">
        <v>356</v>
      </c>
      <c r="C9" s="3" t="s">
        <v>358</v>
      </c>
      <c r="D9" s="3" t="s">
        <v>360</v>
      </c>
      <c r="E9" s="3" t="s">
        <v>362</v>
      </c>
      <c r="F9" s="3" t="s">
        <v>364</v>
      </c>
      <c r="G9" s="3" t="s">
        <v>366</v>
      </c>
      <c r="H9" s="3" t="s">
        <v>368</v>
      </c>
      <c r="I9" s="3" t="s">
        <v>370</v>
      </c>
      <c r="J9" s="3" t="s">
        <v>372</v>
      </c>
      <c r="K9" s="3" t="s">
        <v>374</v>
      </c>
      <c r="L9" s="3" t="s">
        <v>376</v>
      </c>
      <c r="M9" s="3" t="s">
        <v>378</v>
      </c>
    </row>
    <row r="11" spans="1:13">
      <c r="A11" t="s">
        <v>503</v>
      </c>
      <c r="B11">
        <v>1000</v>
      </c>
      <c r="C11" t="s">
        <v>504</v>
      </c>
    </row>
    <row r="12" spans="1:13">
      <c r="A12" t="s">
        <v>505</v>
      </c>
      <c r="B12">
        <v>100</v>
      </c>
      <c r="C12" t="s">
        <v>504</v>
      </c>
    </row>
    <row r="13" spans="1:13">
      <c r="A13" t="s">
        <v>506</v>
      </c>
      <c r="B13">
        <v>10</v>
      </c>
      <c r="C13" t="s">
        <v>504</v>
      </c>
    </row>
    <row r="14" spans="1:13">
      <c r="A14" t="s">
        <v>507</v>
      </c>
      <c r="B14">
        <v>1</v>
      </c>
      <c r="C14" t="s">
        <v>504</v>
      </c>
    </row>
    <row r="15" spans="1:13">
      <c r="A15" t="s">
        <v>508</v>
      </c>
      <c r="B15">
        <v>0.1</v>
      </c>
      <c r="C15" t="s">
        <v>504</v>
      </c>
    </row>
  </sheetData>
  <pageMargins left="0.7" right="0.7" top="0.75" bottom="0.75" header="0.3" footer="0.3"/>
  <pageSetup scale="88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11F51-CE07-4757-8CBD-CE2535DB000C}">
  <sheetPr>
    <pageSetUpPr fitToPage="1"/>
  </sheetPr>
  <dimension ref="A1:M15"/>
  <sheetViews>
    <sheetView workbookViewId="0">
      <selection sqref="A1:M9"/>
    </sheetView>
  </sheetViews>
  <sheetFormatPr defaultColWidth="10.7109375" defaultRowHeight="15"/>
  <cols>
    <col min="1" max="1" width="10.7109375" style="1"/>
  </cols>
  <sheetData>
    <row r="1" spans="1:13" s="5" customFormat="1" ht="20.100000000000001" customHeight="1">
      <c r="A1" s="2" t="s">
        <v>509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s="4" customFormat="1" ht="39.950000000000003" customHeight="1">
      <c r="A2" s="2" t="s">
        <v>495</v>
      </c>
      <c r="B2" s="3">
        <v>3.5000000000000003E-2</v>
      </c>
      <c r="C2" s="3">
        <v>3.9620000000000002</v>
      </c>
      <c r="D2" s="3">
        <v>3.9590000000000001</v>
      </c>
      <c r="E2" s="6">
        <v>3.6150000000000002</v>
      </c>
      <c r="F2" s="3">
        <v>0.85699999999999998</v>
      </c>
      <c r="G2" s="3">
        <v>0.12</v>
      </c>
      <c r="H2" s="3">
        <v>5.1999999999999998E-2</v>
      </c>
      <c r="I2" s="3">
        <v>5.2999999999999999E-2</v>
      </c>
      <c r="J2" s="3">
        <v>0.05</v>
      </c>
      <c r="K2" s="3">
        <v>0.23899999999999999</v>
      </c>
      <c r="L2" s="3">
        <v>0.24199999999999999</v>
      </c>
      <c r="M2" s="3">
        <v>0.185</v>
      </c>
    </row>
    <row r="3" spans="1:13" s="4" customFormat="1" ht="39.950000000000003" customHeight="1">
      <c r="A3" s="2" t="s">
        <v>496</v>
      </c>
      <c r="B3" s="3">
        <v>7.0999999999999994E-2</v>
      </c>
      <c r="C3" s="3">
        <v>7.9000000000000001E-2</v>
      </c>
      <c r="D3" s="3">
        <v>9.4E-2</v>
      </c>
      <c r="E3" s="3">
        <v>0.51200000000000001</v>
      </c>
      <c r="F3" s="3">
        <v>0.56799999999999995</v>
      </c>
      <c r="G3" s="3">
        <v>0.47599999999999998</v>
      </c>
      <c r="H3" s="3">
        <v>0.124</v>
      </c>
      <c r="I3" s="3">
        <v>0.17899999999999999</v>
      </c>
      <c r="J3" s="3">
        <v>0.193</v>
      </c>
      <c r="K3" s="3">
        <v>5.1999999999999998E-2</v>
      </c>
      <c r="L3" s="3">
        <v>5.0999999999999997E-2</v>
      </c>
      <c r="M3" s="3">
        <v>0.05</v>
      </c>
    </row>
    <row r="4" spans="1:13" s="4" customFormat="1" ht="39.950000000000003" customHeight="1">
      <c r="A4" s="2" t="s">
        <v>497</v>
      </c>
      <c r="B4" s="3">
        <v>0.218</v>
      </c>
      <c r="C4" s="3">
        <v>0.16500000000000001</v>
      </c>
      <c r="D4" s="3">
        <v>0.14199999999999999</v>
      </c>
      <c r="E4" s="3">
        <v>7.9000000000000001E-2</v>
      </c>
      <c r="F4" s="3">
        <v>7.4999999999999997E-2</v>
      </c>
      <c r="G4" s="3">
        <v>0.104</v>
      </c>
      <c r="H4" s="3">
        <v>0.625</v>
      </c>
      <c r="I4" s="3">
        <v>0.59499999999999997</v>
      </c>
      <c r="J4" s="3">
        <v>0.47099999999999997</v>
      </c>
      <c r="K4" s="3">
        <v>0.17199999999999999</v>
      </c>
      <c r="L4" s="3">
        <v>0.13800000000000001</v>
      </c>
      <c r="M4" s="3">
        <v>0.16200000000000001</v>
      </c>
    </row>
    <row r="5" spans="1:13" s="4" customFormat="1" ht="39.950000000000003" customHeight="1">
      <c r="A5" s="2" t="s">
        <v>498</v>
      </c>
      <c r="B5" s="3">
        <v>5.6000000000000001E-2</v>
      </c>
      <c r="C5" s="3">
        <v>5.6000000000000001E-2</v>
      </c>
      <c r="D5" s="3">
        <v>5.1999999999999998E-2</v>
      </c>
      <c r="E5" s="3">
        <v>0.14799999999999999</v>
      </c>
      <c r="F5" s="3">
        <v>0.193</v>
      </c>
      <c r="G5" s="3">
        <v>0.23300000000000001</v>
      </c>
      <c r="H5" s="3">
        <v>8.1000000000000003E-2</v>
      </c>
      <c r="I5" s="3">
        <v>7.1999999999999995E-2</v>
      </c>
      <c r="J5" s="3">
        <v>8.6999999999999994E-2</v>
      </c>
      <c r="K5" s="3">
        <v>0.65200000000000002</v>
      </c>
      <c r="L5" s="3">
        <v>0.68300000000000005</v>
      </c>
      <c r="M5" s="3">
        <v>0.44400000000000001</v>
      </c>
    </row>
    <row r="6" spans="1:13" s="4" customFormat="1" ht="39.950000000000003" customHeight="1">
      <c r="A6" s="2" t="s">
        <v>499</v>
      </c>
      <c r="B6" s="3">
        <v>0.121</v>
      </c>
      <c r="C6" s="3">
        <v>0.11899999999999999</v>
      </c>
      <c r="D6" s="3">
        <v>0.125</v>
      </c>
      <c r="E6" s="3">
        <v>5.5E-2</v>
      </c>
      <c r="F6" s="3">
        <v>5.3999999999999999E-2</v>
      </c>
      <c r="G6" s="3">
        <v>5.2999999999999999E-2</v>
      </c>
      <c r="H6" s="3">
        <v>0.121</v>
      </c>
      <c r="I6" s="3">
        <v>0.11899999999999999</v>
      </c>
      <c r="J6" s="3">
        <v>0.11700000000000001</v>
      </c>
      <c r="K6" s="3">
        <v>6.3E-2</v>
      </c>
      <c r="L6" s="3">
        <v>6.7000000000000004E-2</v>
      </c>
      <c r="M6" s="3">
        <v>7.0999999999999994E-2</v>
      </c>
    </row>
    <row r="7" spans="1:13" s="4" customFormat="1" ht="39.950000000000003" customHeight="1">
      <c r="A7" s="2" t="s">
        <v>500</v>
      </c>
      <c r="B7" s="3">
        <v>0.64400000000000002</v>
      </c>
      <c r="C7" s="3">
        <v>0.76</v>
      </c>
      <c r="D7" s="3">
        <v>0.70799999999999996</v>
      </c>
      <c r="E7" s="3">
        <v>0.156</v>
      </c>
      <c r="F7" s="3">
        <v>0.13500000000000001</v>
      </c>
      <c r="G7" s="3">
        <v>0.153</v>
      </c>
      <c r="H7" s="3">
        <v>6.5000000000000002E-2</v>
      </c>
      <c r="I7" s="3">
        <v>5.6000000000000001E-2</v>
      </c>
      <c r="J7" s="3">
        <v>5.8000000000000003E-2</v>
      </c>
      <c r="K7" s="3">
        <v>0.12</v>
      </c>
      <c r="L7" s="3">
        <v>0.17599999999999999</v>
      </c>
      <c r="M7" s="3">
        <v>0.183</v>
      </c>
    </row>
    <row r="8" spans="1:13" s="4" customFormat="1" ht="39.950000000000003" customHeight="1">
      <c r="A8" s="2" t="s">
        <v>501</v>
      </c>
      <c r="B8" s="3">
        <v>7.1999999999999995E-2</v>
      </c>
      <c r="C8" s="3">
        <v>7.8E-2</v>
      </c>
      <c r="D8" s="3">
        <v>0.113</v>
      </c>
      <c r="E8" s="3">
        <v>0.30599999999999999</v>
      </c>
      <c r="F8" s="3">
        <v>0.28299999999999997</v>
      </c>
      <c r="G8" s="3">
        <v>0.27200000000000002</v>
      </c>
      <c r="H8" s="3">
        <v>1.21E-2</v>
      </c>
      <c r="I8" s="3">
        <v>0.11700000000000001</v>
      </c>
      <c r="J8" s="3">
        <v>0.114</v>
      </c>
      <c r="K8" s="3">
        <v>5.1999999999999998E-2</v>
      </c>
      <c r="L8" s="3">
        <v>5.1999999999999998E-2</v>
      </c>
      <c r="M8" s="3">
        <v>5.3999999999999999E-2</v>
      </c>
    </row>
    <row r="9" spans="1:13" s="4" customFormat="1" ht="39.950000000000003" customHeight="1">
      <c r="A9" s="2" t="s">
        <v>502</v>
      </c>
      <c r="B9" s="3">
        <v>0.184</v>
      </c>
      <c r="C9" s="3">
        <v>0.14899999999999999</v>
      </c>
      <c r="D9" s="3">
        <v>0.157</v>
      </c>
      <c r="E9" s="3">
        <v>7.5999999999999998E-2</v>
      </c>
      <c r="F9" s="3">
        <v>8.3000000000000004E-2</v>
      </c>
      <c r="G9" s="3">
        <v>7.5999999999999998E-2</v>
      </c>
      <c r="H9" s="3">
        <v>0.40899999999999997</v>
      </c>
      <c r="I9" s="3">
        <v>0.35699999999999998</v>
      </c>
      <c r="J9" s="3">
        <v>0.307</v>
      </c>
      <c r="K9" s="3">
        <v>0.13500000000000001</v>
      </c>
      <c r="L9" s="3">
        <v>0.12</v>
      </c>
      <c r="M9" s="3">
        <v>0.12</v>
      </c>
    </row>
    <row r="11" spans="1:13">
      <c r="A11" t="s">
        <v>503</v>
      </c>
      <c r="B11">
        <v>1000</v>
      </c>
      <c r="C11" t="s">
        <v>504</v>
      </c>
    </row>
    <row r="12" spans="1:13">
      <c r="A12" t="s">
        <v>505</v>
      </c>
      <c r="B12">
        <v>100</v>
      </c>
      <c r="C12" t="s">
        <v>504</v>
      </c>
    </row>
    <row r="13" spans="1:13">
      <c r="A13" t="s">
        <v>506</v>
      </c>
      <c r="B13">
        <v>10</v>
      </c>
      <c r="C13" t="s">
        <v>504</v>
      </c>
    </row>
    <row r="14" spans="1:13">
      <c r="A14" t="s">
        <v>507</v>
      </c>
      <c r="B14">
        <v>1</v>
      </c>
      <c r="C14" t="s">
        <v>504</v>
      </c>
    </row>
    <row r="15" spans="1:13">
      <c r="A15" t="s">
        <v>508</v>
      </c>
      <c r="B15">
        <v>0.1</v>
      </c>
      <c r="C15" t="s">
        <v>504</v>
      </c>
    </row>
  </sheetData>
  <pageMargins left="0.7" right="0.7" top="0.75" bottom="0.75" header="0.3" footer="0.3"/>
  <pageSetup scale="8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A00F-6CF8-4F15-9963-D68A5EE03F64}">
  <sheetPr>
    <pageSetUpPr fitToPage="1"/>
  </sheetPr>
  <dimension ref="A1:M15"/>
  <sheetViews>
    <sheetView workbookViewId="0">
      <selection sqref="A1:M4"/>
    </sheetView>
  </sheetViews>
  <sheetFormatPr defaultColWidth="10.7109375" defaultRowHeight="15"/>
  <cols>
    <col min="1" max="1" width="10.7109375" style="1"/>
  </cols>
  <sheetData>
    <row r="1" spans="1:13" s="1" customFormat="1" ht="20.100000000000001" customHeight="1">
      <c r="A1" s="2" t="s">
        <v>510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39.950000000000003" customHeight="1">
      <c r="A2" s="2" t="s">
        <v>495</v>
      </c>
      <c r="B2" s="3" t="s">
        <v>426</v>
      </c>
      <c r="C2" s="3" t="s">
        <v>428</v>
      </c>
      <c r="D2" s="3" t="s">
        <v>431</v>
      </c>
      <c r="E2" s="3" t="s">
        <v>434</v>
      </c>
      <c r="F2" s="3" t="s">
        <v>436</v>
      </c>
      <c r="G2" s="3" t="s">
        <v>438</v>
      </c>
      <c r="H2" s="3" t="s">
        <v>380</v>
      </c>
      <c r="I2" s="3" t="s">
        <v>382</v>
      </c>
      <c r="J2" s="3" t="s">
        <v>384</v>
      </c>
      <c r="K2" s="3" t="s">
        <v>386</v>
      </c>
      <c r="L2" s="3" t="s">
        <v>388</v>
      </c>
      <c r="M2" s="3" t="s">
        <v>390</v>
      </c>
    </row>
    <row r="3" spans="1:13" ht="39.950000000000003" customHeight="1">
      <c r="A3" s="2" t="s">
        <v>496</v>
      </c>
      <c r="B3" s="3" t="s">
        <v>392</v>
      </c>
      <c r="C3" s="3" t="s">
        <v>394</v>
      </c>
      <c r="D3" s="3" t="s">
        <v>396</v>
      </c>
      <c r="E3" s="3" t="s">
        <v>398</v>
      </c>
      <c r="F3" s="3" t="s">
        <v>400</v>
      </c>
      <c r="G3" s="3" t="s">
        <v>402</v>
      </c>
      <c r="H3" s="3" t="s">
        <v>404</v>
      </c>
      <c r="I3" s="3" t="s">
        <v>406</v>
      </c>
      <c r="J3" s="3" t="s">
        <v>408</v>
      </c>
      <c r="K3" s="3" t="s">
        <v>417</v>
      </c>
      <c r="L3" s="3" t="s">
        <v>422</v>
      </c>
      <c r="M3" s="3" t="s">
        <v>424</v>
      </c>
    </row>
    <row r="4" spans="1:13" ht="39.950000000000003" customHeight="1">
      <c r="A4" s="2" t="s">
        <v>497</v>
      </c>
      <c r="B4" s="3" t="s">
        <v>410</v>
      </c>
      <c r="C4" s="3" t="s">
        <v>466</v>
      </c>
      <c r="D4" s="3" t="s">
        <v>466</v>
      </c>
      <c r="E4" s="3" t="s">
        <v>466</v>
      </c>
      <c r="F4" s="3"/>
      <c r="G4" s="3"/>
      <c r="H4" s="3"/>
      <c r="I4" s="3"/>
      <c r="J4" s="3"/>
      <c r="K4" s="3"/>
      <c r="L4" s="3"/>
      <c r="M4" s="3"/>
    </row>
    <row r="5" spans="1:13" ht="39.950000000000003" customHeight="1">
      <c r="A5" s="2" t="s">
        <v>498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9.950000000000003" customHeight="1">
      <c r="A6" s="2" t="s">
        <v>499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39.950000000000003" customHeight="1">
      <c r="A7" s="2" t="s">
        <v>500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39.950000000000003" customHeight="1">
      <c r="A8" s="2" t="s">
        <v>501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39.950000000000003" customHeight="1">
      <c r="A9" s="2" t="s">
        <v>502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1" spans="1:13">
      <c r="A11" t="s">
        <v>503</v>
      </c>
      <c r="B11">
        <v>1000</v>
      </c>
      <c r="C11" t="s">
        <v>504</v>
      </c>
    </row>
    <row r="12" spans="1:13">
      <c r="A12" t="s">
        <v>505</v>
      </c>
      <c r="B12">
        <v>100</v>
      </c>
      <c r="C12" t="s">
        <v>504</v>
      </c>
    </row>
    <row r="13" spans="1:13">
      <c r="A13" t="s">
        <v>506</v>
      </c>
      <c r="B13">
        <v>10</v>
      </c>
      <c r="C13" t="s">
        <v>504</v>
      </c>
    </row>
    <row r="14" spans="1:13">
      <c r="A14" t="s">
        <v>507</v>
      </c>
      <c r="B14">
        <v>1</v>
      </c>
      <c r="C14" t="s">
        <v>504</v>
      </c>
    </row>
    <row r="15" spans="1:13">
      <c r="A15" t="s">
        <v>508</v>
      </c>
      <c r="B15">
        <v>0.1</v>
      </c>
      <c r="C15" t="s">
        <v>504</v>
      </c>
    </row>
  </sheetData>
  <pageMargins left="0.7" right="0.7" top="0.75" bottom="0.75" header="0.3" footer="0.3"/>
  <pageSetup scale="8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EC269-DF3A-4B29-BC24-7F2A5E47BFF4}">
  <sheetPr>
    <pageSetUpPr fitToPage="1"/>
  </sheetPr>
  <dimension ref="A1:M15"/>
  <sheetViews>
    <sheetView workbookViewId="0">
      <selection activeCell="A11" sqref="A11:C15"/>
    </sheetView>
  </sheetViews>
  <sheetFormatPr defaultColWidth="10.7109375" defaultRowHeight="15"/>
  <cols>
    <col min="1" max="1" width="10.7109375" style="1"/>
  </cols>
  <sheetData>
    <row r="1" spans="1:13" s="1" customFormat="1" ht="20.100000000000001" customHeight="1">
      <c r="A1" s="2" t="s">
        <v>510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39.950000000000003" customHeight="1">
      <c r="A2" s="2" t="s">
        <v>495</v>
      </c>
      <c r="B2" s="3">
        <v>3.5000000000000003E-2</v>
      </c>
      <c r="C2" s="3">
        <v>3.9620000000000002</v>
      </c>
      <c r="D2" s="3">
        <v>3.96</v>
      </c>
      <c r="E2" s="6">
        <v>3.5</v>
      </c>
      <c r="F2" s="3">
        <v>0.69099999999999995</v>
      </c>
      <c r="G2" s="3">
        <v>9.5000000000000001E-2</v>
      </c>
      <c r="H2" s="3">
        <v>5.1999999999999998E-2</v>
      </c>
      <c r="I2" s="3">
        <v>0.05</v>
      </c>
      <c r="J2" s="3">
        <v>5.0999999999999997E-2</v>
      </c>
      <c r="K2" s="3">
        <v>9.9000000000000005E-2</v>
      </c>
      <c r="L2" s="3">
        <v>0.10199999999999999</v>
      </c>
      <c r="M2" s="3">
        <v>0.107</v>
      </c>
    </row>
    <row r="3" spans="1:13" ht="39.950000000000003" customHeight="1">
      <c r="A3" s="2" t="s">
        <v>496</v>
      </c>
      <c r="B3" s="3">
        <v>6.0999999999999999E-2</v>
      </c>
      <c r="C3" s="3">
        <v>0.06</v>
      </c>
      <c r="D3" s="3">
        <v>4.7E-2</v>
      </c>
      <c r="E3" s="3">
        <v>0.31900000000000001</v>
      </c>
      <c r="F3" s="3">
        <v>0.36199999999999999</v>
      </c>
      <c r="G3" s="3">
        <v>0.29599999999999999</v>
      </c>
      <c r="H3" s="3">
        <v>9.7000000000000003E-2</v>
      </c>
      <c r="I3" s="3">
        <v>9.4E-2</v>
      </c>
      <c r="J3" s="3">
        <v>9.8000000000000004E-2</v>
      </c>
      <c r="K3" s="3">
        <v>7.0999999999999994E-2</v>
      </c>
      <c r="L3" s="3">
        <v>0.04</v>
      </c>
      <c r="M3" s="3">
        <v>4.4999999999999998E-2</v>
      </c>
    </row>
    <row r="4" spans="1:13" ht="39.950000000000003" customHeight="1">
      <c r="A4" s="2" t="s">
        <v>497</v>
      </c>
      <c r="B4" s="3">
        <v>0.151</v>
      </c>
      <c r="C4" s="3">
        <v>3.9E-2</v>
      </c>
      <c r="D4" s="3">
        <v>3.9E-2</v>
      </c>
      <c r="E4" s="3">
        <v>3.9E-2</v>
      </c>
      <c r="F4" s="3"/>
      <c r="G4" s="3"/>
      <c r="H4" s="3"/>
      <c r="I4" s="3"/>
      <c r="J4" s="3"/>
      <c r="K4" s="3"/>
      <c r="L4" s="3"/>
      <c r="M4" s="3"/>
    </row>
    <row r="5" spans="1:13" ht="39.950000000000003" customHeight="1">
      <c r="A5" s="2" t="s">
        <v>498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9.950000000000003" customHeight="1">
      <c r="A6" s="2" t="s">
        <v>499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39.950000000000003" customHeight="1">
      <c r="A7" s="2" t="s">
        <v>500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39.950000000000003" customHeight="1">
      <c r="A8" s="2" t="s">
        <v>501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39.950000000000003" customHeight="1">
      <c r="A9" s="2" t="s">
        <v>502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1" spans="1:13">
      <c r="A11" t="s">
        <v>503</v>
      </c>
      <c r="B11">
        <v>1000</v>
      </c>
      <c r="C11" t="s">
        <v>504</v>
      </c>
    </row>
    <row r="12" spans="1:13">
      <c r="A12" t="s">
        <v>505</v>
      </c>
      <c r="B12">
        <v>100</v>
      </c>
      <c r="C12" t="s">
        <v>504</v>
      </c>
    </row>
    <row r="13" spans="1:13">
      <c r="A13" t="s">
        <v>506</v>
      </c>
      <c r="B13">
        <v>10</v>
      </c>
      <c r="C13" t="s">
        <v>504</v>
      </c>
    </row>
    <row r="14" spans="1:13">
      <c r="A14" t="s">
        <v>507</v>
      </c>
      <c r="B14">
        <v>1</v>
      </c>
      <c r="C14" t="s">
        <v>504</v>
      </c>
    </row>
    <row r="15" spans="1:13">
      <c r="A15" t="s">
        <v>508</v>
      </c>
      <c r="B15">
        <v>0.1</v>
      </c>
      <c r="C15" t="s">
        <v>504</v>
      </c>
    </row>
  </sheetData>
  <pageMargins left="0.7" right="0.7" top="0.75" bottom="0.75" header="0.3" footer="0.3"/>
  <pageSetup scale="8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088F3-C4A8-41F3-8D11-2C451DF981EF}">
  <dimension ref="A2:C6"/>
  <sheetViews>
    <sheetView workbookViewId="0">
      <selection activeCell="E13" sqref="E13"/>
    </sheetView>
  </sheetViews>
  <sheetFormatPr defaultRowHeight="15"/>
  <cols>
    <col min="1" max="1" width="18" customWidth="1"/>
  </cols>
  <sheetData>
    <row r="2" spans="1:3">
      <c r="A2" t="s">
        <v>503</v>
      </c>
      <c r="B2">
        <v>1000</v>
      </c>
      <c r="C2" t="s">
        <v>504</v>
      </c>
    </row>
    <row r="3" spans="1:3">
      <c r="A3" t="s">
        <v>505</v>
      </c>
      <c r="B3">
        <v>100</v>
      </c>
      <c r="C3" t="s">
        <v>504</v>
      </c>
    </row>
    <row r="4" spans="1:3">
      <c r="A4" t="s">
        <v>506</v>
      </c>
      <c r="B4">
        <v>10</v>
      </c>
      <c r="C4" t="s">
        <v>504</v>
      </c>
    </row>
    <row r="5" spans="1:3">
      <c r="A5" t="s">
        <v>507</v>
      </c>
      <c r="B5">
        <v>1</v>
      </c>
      <c r="C5" t="s">
        <v>504</v>
      </c>
    </row>
    <row r="6" spans="1:3">
      <c r="A6" t="s">
        <v>508</v>
      </c>
      <c r="B6">
        <v>0.1</v>
      </c>
      <c r="C6" t="s">
        <v>504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F7996-ABD4-49F4-AF7E-ED292D5AC91E}">
  <sheetPr>
    <pageSetUpPr fitToPage="1"/>
  </sheetPr>
  <dimension ref="A1:M15"/>
  <sheetViews>
    <sheetView workbookViewId="0">
      <selection activeCell="A6" sqref="A6:H6"/>
    </sheetView>
  </sheetViews>
  <sheetFormatPr defaultColWidth="10.7109375" defaultRowHeight="15"/>
  <cols>
    <col min="1" max="1" width="10.7109375" style="1"/>
    <col min="6" max="6" width="10.7109375" customWidth="1"/>
  </cols>
  <sheetData>
    <row r="1" spans="1:13" s="1" customFormat="1" ht="20.100000000000001" customHeight="1">
      <c r="A1" s="2" t="s">
        <v>511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39.950000000000003" customHeight="1">
      <c r="A2" s="2" t="s">
        <v>495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9.950000000000003" customHeight="1">
      <c r="A3" s="2" t="s">
        <v>496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39.950000000000003" customHeight="1">
      <c r="A4" s="2" t="s">
        <v>497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39.950000000000003" customHeight="1">
      <c r="A5" s="2" t="s">
        <v>498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9.950000000000003" customHeight="1">
      <c r="A6" s="2" t="s">
        <v>499</v>
      </c>
      <c r="B6" s="3" t="s">
        <v>470</v>
      </c>
      <c r="C6" s="3" t="s">
        <v>473</v>
      </c>
      <c r="D6" s="3" t="s">
        <v>475</v>
      </c>
      <c r="E6" s="3" t="s">
        <v>477</v>
      </c>
      <c r="F6" s="3" t="s">
        <v>480</v>
      </c>
      <c r="G6" s="3" t="s">
        <v>482</v>
      </c>
      <c r="H6" s="3" t="s">
        <v>412</v>
      </c>
      <c r="I6" s="3"/>
      <c r="J6" s="3"/>
      <c r="K6" s="3"/>
      <c r="L6" s="3"/>
      <c r="M6" s="3"/>
    </row>
    <row r="7" spans="1:13" ht="39.950000000000003" customHeight="1">
      <c r="A7" s="2" t="s">
        <v>500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39.950000000000003" customHeight="1">
      <c r="A8" s="2" t="s">
        <v>501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39.950000000000003" customHeight="1">
      <c r="A9" s="2" t="s">
        <v>502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1" spans="1:13">
      <c r="A11" t="s">
        <v>503</v>
      </c>
      <c r="B11">
        <v>1000</v>
      </c>
      <c r="C11" t="s">
        <v>504</v>
      </c>
      <c r="E11" t="s">
        <v>471</v>
      </c>
      <c r="F11" t="s">
        <v>512</v>
      </c>
      <c r="G11" t="s">
        <v>513</v>
      </c>
      <c r="H11">
        <v>2</v>
      </c>
    </row>
    <row r="12" spans="1:13">
      <c r="A12" t="s">
        <v>505</v>
      </c>
      <c r="B12">
        <v>100</v>
      </c>
      <c r="C12" t="s">
        <v>504</v>
      </c>
      <c r="E12" t="s">
        <v>478</v>
      </c>
      <c r="F12" t="s">
        <v>514</v>
      </c>
      <c r="G12" t="s">
        <v>515</v>
      </c>
      <c r="H12">
        <v>4</v>
      </c>
    </row>
    <row r="13" spans="1:13">
      <c r="A13" t="s">
        <v>506</v>
      </c>
      <c r="B13">
        <v>10</v>
      </c>
      <c r="C13" t="s">
        <v>504</v>
      </c>
      <c r="E13" t="s">
        <v>485</v>
      </c>
      <c r="F13" t="s">
        <v>516</v>
      </c>
      <c r="G13" t="s">
        <v>513</v>
      </c>
      <c r="H13">
        <v>8</v>
      </c>
    </row>
    <row r="14" spans="1:13">
      <c r="A14" t="s">
        <v>507</v>
      </c>
      <c r="B14">
        <v>1</v>
      </c>
      <c r="C14" t="s">
        <v>504</v>
      </c>
      <c r="E14" t="s">
        <v>492</v>
      </c>
      <c r="F14" t="s">
        <v>517</v>
      </c>
      <c r="G14" t="s">
        <v>518</v>
      </c>
      <c r="H14">
        <v>5</v>
      </c>
    </row>
    <row r="15" spans="1:13">
      <c r="A15" t="s">
        <v>508</v>
      </c>
      <c r="B15">
        <v>0.1</v>
      </c>
      <c r="C15" t="s">
        <v>504</v>
      </c>
    </row>
  </sheetData>
  <pageMargins left="0.7" right="0.7" top="0.75" bottom="0.75" header="0.3" footer="0.3"/>
  <pageSetup scale="8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D50A-461F-4363-BE28-1AAA7E2800D5}">
  <sheetPr>
    <pageSetUpPr fitToPage="1"/>
  </sheetPr>
  <dimension ref="A1:M15"/>
  <sheetViews>
    <sheetView workbookViewId="0">
      <selection activeCell="E11" sqref="E11:H14"/>
    </sheetView>
  </sheetViews>
  <sheetFormatPr defaultColWidth="10.7109375" defaultRowHeight="15"/>
  <cols>
    <col min="1" max="1" width="10.7109375" style="1"/>
    <col min="6" max="6" width="10.7109375" customWidth="1"/>
  </cols>
  <sheetData>
    <row r="1" spans="1:13" s="1" customFormat="1" ht="20.100000000000001" customHeight="1">
      <c r="A1" s="2" t="s">
        <v>511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39.950000000000003" customHeight="1">
      <c r="A2" s="2" t="s">
        <v>495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9.950000000000003" customHeight="1">
      <c r="A3" s="2" t="s">
        <v>496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39.950000000000003" customHeight="1">
      <c r="A4" s="2" t="s">
        <v>497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39.950000000000003" customHeight="1">
      <c r="A5" s="2" t="s">
        <v>498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9.950000000000003" customHeight="1">
      <c r="A6" s="2" t="s">
        <v>499</v>
      </c>
      <c r="B6" s="3">
        <v>2.669</v>
      </c>
      <c r="C6" s="3">
        <v>2.3239999999999998</v>
      </c>
      <c r="D6" s="3">
        <v>2.1480000000000001</v>
      </c>
      <c r="E6" s="3">
        <v>1.345</v>
      </c>
      <c r="F6" s="3">
        <v>1.1579999999999999</v>
      </c>
      <c r="G6" s="3">
        <v>1.1020000000000001</v>
      </c>
      <c r="H6" s="3">
        <v>0.52700000000000002</v>
      </c>
      <c r="I6" s="3"/>
      <c r="J6" s="3"/>
      <c r="K6" s="3"/>
      <c r="L6" s="3"/>
      <c r="M6" s="3"/>
    </row>
    <row r="7" spans="1:13" ht="39.950000000000003" customHeight="1">
      <c r="A7" s="2" t="s">
        <v>500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39.950000000000003" customHeight="1">
      <c r="A8" s="2" t="s">
        <v>501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39.950000000000003" customHeight="1">
      <c r="A9" s="2" t="s">
        <v>502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1" spans="1:13">
      <c r="A11" t="s">
        <v>503</v>
      </c>
      <c r="B11">
        <v>1000</v>
      </c>
      <c r="C11" t="s">
        <v>504</v>
      </c>
      <c r="E11" t="s">
        <v>471</v>
      </c>
      <c r="F11" t="s">
        <v>512</v>
      </c>
      <c r="G11" t="s">
        <v>513</v>
      </c>
      <c r="H11">
        <v>2</v>
      </c>
    </row>
    <row r="12" spans="1:13">
      <c r="A12" t="s">
        <v>505</v>
      </c>
      <c r="B12">
        <v>100</v>
      </c>
      <c r="C12" t="s">
        <v>504</v>
      </c>
      <c r="E12" t="s">
        <v>478</v>
      </c>
      <c r="F12" t="s">
        <v>514</v>
      </c>
      <c r="G12" t="s">
        <v>515</v>
      </c>
      <c r="H12">
        <v>4</v>
      </c>
    </row>
    <row r="13" spans="1:13">
      <c r="A13" t="s">
        <v>506</v>
      </c>
      <c r="B13">
        <v>10</v>
      </c>
      <c r="C13" t="s">
        <v>504</v>
      </c>
      <c r="E13" t="s">
        <v>485</v>
      </c>
      <c r="F13" t="s">
        <v>516</v>
      </c>
      <c r="G13" t="s">
        <v>513</v>
      </c>
      <c r="H13">
        <v>8</v>
      </c>
    </row>
    <row r="14" spans="1:13">
      <c r="A14" t="s">
        <v>507</v>
      </c>
      <c r="B14">
        <v>1</v>
      </c>
      <c r="C14" t="s">
        <v>504</v>
      </c>
      <c r="E14" t="s">
        <v>492</v>
      </c>
      <c r="F14" t="s">
        <v>517</v>
      </c>
      <c r="G14" t="s">
        <v>518</v>
      </c>
      <c r="H14">
        <v>5</v>
      </c>
    </row>
    <row r="15" spans="1:13">
      <c r="A15" t="s">
        <v>508</v>
      </c>
      <c r="B15">
        <v>0.1</v>
      </c>
      <c r="C15" t="s">
        <v>504</v>
      </c>
    </row>
  </sheetData>
  <pageMargins left="0.7" right="0.7" top="0.75" bottom="0.75" header="0.3" footer="0.3"/>
  <pageSetup scale="8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65A0-5D76-441C-BB63-C12A19E0F565}">
  <sheetPr>
    <pageSetUpPr fitToPage="1"/>
  </sheetPr>
  <dimension ref="A1:M15"/>
  <sheetViews>
    <sheetView workbookViewId="0">
      <selection activeCell="A7" sqref="A7:H7"/>
    </sheetView>
  </sheetViews>
  <sheetFormatPr defaultColWidth="10.7109375" defaultRowHeight="15"/>
  <cols>
    <col min="1" max="1" width="10.7109375" style="1"/>
    <col min="6" max="6" width="10.7109375" customWidth="1"/>
  </cols>
  <sheetData>
    <row r="1" spans="1:13" s="1" customFormat="1" ht="20.100000000000001" customHeight="1">
      <c r="A1" s="2" t="s">
        <v>519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39.950000000000003" customHeight="1">
      <c r="A2" s="2" t="s">
        <v>495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9.950000000000003" customHeight="1">
      <c r="A3" s="2" t="s">
        <v>496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39.950000000000003" customHeight="1">
      <c r="A4" s="2" t="s">
        <v>497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39.950000000000003" customHeight="1">
      <c r="A5" s="2" t="s">
        <v>498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9.950000000000003" customHeight="1">
      <c r="A6" s="2" t="s">
        <v>499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39.950000000000003" customHeight="1">
      <c r="A7" s="2" t="s">
        <v>500</v>
      </c>
      <c r="B7" s="3"/>
      <c r="C7" s="3"/>
      <c r="D7" s="3"/>
      <c r="E7" s="3" t="s">
        <v>484</v>
      </c>
      <c r="F7" s="3" t="s">
        <v>487</v>
      </c>
      <c r="G7" s="3" t="s">
        <v>489</v>
      </c>
      <c r="H7" s="3" t="s">
        <v>491</v>
      </c>
      <c r="I7" s="3"/>
      <c r="J7" s="3"/>
      <c r="K7" s="3"/>
      <c r="L7" s="3"/>
      <c r="M7" s="3"/>
    </row>
    <row r="8" spans="1:13" ht="39.950000000000003" customHeight="1">
      <c r="A8" s="2" t="s">
        <v>501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39.950000000000003" customHeight="1">
      <c r="A9" s="2" t="s">
        <v>502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1" spans="1:13">
      <c r="A11" t="s">
        <v>503</v>
      </c>
      <c r="B11">
        <v>1000</v>
      </c>
      <c r="C11" t="s">
        <v>504</v>
      </c>
      <c r="E11" t="s">
        <v>471</v>
      </c>
      <c r="F11" t="s">
        <v>512</v>
      </c>
      <c r="G11" t="s">
        <v>513</v>
      </c>
      <c r="H11">
        <v>2</v>
      </c>
    </row>
    <row r="12" spans="1:13">
      <c r="A12" t="s">
        <v>505</v>
      </c>
      <c r="B12">
        <v>100</v>
      </c>
      <c r="C12" t="s">
        <v>504</v>
      </c>
      <c r="E12" t="s">
        <v>478</v>
      </c>
      <c r="F12" t="s">
        <v>514</v>
      </c>
      <c r="G12" t="s">
        <v>515</v>
      </c>
      <c r="H12">
        <v>4</v>
      </c>
    </row>
    <row r="13" spans="1:13">
      <c r="A13" t="s">
        <v>506</v>
      </c>
      <c r="B13">
        <v>10</v>
      </c>
      <c r="C13" t="s">
        <v>504</v>
      </c>
      <c r="E13" t="s">
        <v>485</v>
      </c>
      <c r="F13" t="s">
        <v>516</v>
      </c>
      <c r="G13" t="s">
        <v>513</v>
      </c>
      <c r="H13">
        <v>8</v>
      </c>
    </row>
    <row r="14" spans="1:13">
      <c r="A14" t="s">
        <v>507</v>
      </c>
      <c r="B14">
        <v>1</v>
      </c>
      <c r="C14" t="s">
        <v>504</v>
      </c>
      <c r="E14" t="s">
        <v>492</v>
      </c>
      <c r="F14" t="s">
        <v>517</v>
      </c>
      <c r="G14" t="s">
        <v>518</v>
      </c>
      <c r="H14">
        <v>5</v>
      </c>
    </row>
    <row r="15" spans="1:13">
      <c r="A15" t="s">
        <v>508</v>
      </c>
      <c r="B15">
        <v>0.1</v>
      </c>
      <c r="C15" t="s">
        <v>504</v>
      </c>
    </row>
  </sheetData>
  <pageMargins left="0.7" right="0.7" top="0.75" bottom="0.75" header="0.3" footer="0.3"/>
  <pageSetup scale="8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5143B-43EF-483C-9D52-BD85298FA909}">
  <sheetPr>
    <pageSetUpPr fitToPage="1"/>
  </sheetPr>
  <dimension ref="A1:M15"/>
  <sheetViews>
    <sheetView workbookViewId="0">
      <selection activeCell="E7" sqref="E7:H7"/>
    </sheetView>
  </sheetViews>
  <sheetFormatPr defaultColWidth="10.7109375" defaultRowHeight="15"/>
  <cols>
    <col min="1" max="1" width="10.7109375" style="1"/>
    <col min="6" max="6" width="10.7109375" customWidth="1"/>
  </cols>
  <sheetData>
    <row r="1" spans="1:13" s="1" customFormat="1" ht="20.100000000000001" customHeight="1">
      <c r="A1" s="2" t="s">
        <v>519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39.950000000000003" customHeight="1">
      <c r="A2" s="2" t="s">
        <v>495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39.950000000000003" customHeight="1">
      <c r="A3" s="2" t="s">
        <v>496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39.950000000000003" customHeight="1">
      <c r="A4" s="2" t="s">
        <v>497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39.950000000000003" customHeight="1">
      <c r="A5" s="2" t="s">
        <v>498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9.950000000000003" customHeight="1">
      <c r="A6" s="2" t="s">
        <v>499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39.950000000000003" customHeight="1">
      <c r="A7" s="2" t="s">
        <v>500</v>
      </c>
      <c r="B7" s="3"/>
      <c r="C7" s="3"/>
      <c r="D7" s="3"/>
      <c r="E7" s="3">
        <v>0.70899999999999996</v>
      </c>
      <c r="F7" s="3">
        <v>0.625</v>
      </c>
      <c r="G7" s="3">
        <v>0.59099999999999997</v>
      </c>
      <c r="H7" s="3">
        <v>0.89400000000000002</v>
      </c>
      <c r="I7" s="3"/>
      <c r="J7" s="3"/>
      <c r="K7" s="3"/>
      <c r="L7" s="3"/>
      <c r="M7" s="3"/>
    </row>
    <row r="8" spans="1:13" ht="39.950000000000003" customHeight="1">
      <c r="A8" s="2" t="s">
        <v>501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39.950000000000003" customHeight="1">
      <c r="A9" s="2" t="s">
        <v>502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1" spans="1:13">
      <c r="A11" t="s">
        <v>503</v>
      </c>
      <c r="B11">
        <v>1000</v>
      </c>
      <c r="C11" t="s">
        <v>504</v>
      </c>
      <c r="E11" t="s">
        <v>471</v>
      </c>
      <c r="F11" t="s">
        <v>512</v>
      </c>
      <c r="G11" t="s">
        <v>513</v>
      </c>
      <c r="H11">
        <v>2</v>
      </c>
    </row>
    <row r="12" spans="1:13">
      <c r="A12" t="s">
        <v>505</v>
      </c>
      <c r="B12">
        <v>100</v>
      </c>
      <c r="C12" t="s">
        <v>504</v>
      </c>
      <c r="E12" t="s">
        <v>478</v>
      </c>
      <c r="F12" t="s">
        <v>514</v>
      </c>
      <c r="G12" t="s">
        <v>515</v>
      </c>
      <c r="H12">
        <v>4</v>
      </c>
    </row>
    <row r="13" spans="1:13">
      <c r="A13" t="s">
        <v>506</v>
      </c>
      <c r="B13">
        <v>10</v>
      </c>
      <c r="C13" t="s">
        <v>504</v>
      </c>
      <c r="E13" t="s">
        <v>485</v>
      </c>
      <c r="F13" t="s">
        <v>516</v>
      </c>
      <c r="G13" t="s">
        <v>513</v>
      </c>
      <c r="H13">
        <v>8</v>
      </c>
    </row>
    <row r="14" spans="1:13">
      <c r="A14" t="s">
        <v>507</v>
      </c>
      <c r="B14">
        <v>1</v>
      </c>
      <c r="C14" t="s">
        <v>504</v>
      </c>
      <c r="E14" t="s">
        <v>492</v>
      </c>
      <c r="F14" t="s">
        <v>517</v>
      </c>
      <c r="G14" t="s">
        <v>518</v>
      </c>
      <c r="H14">
        <v>5</v>
      </c>
    </row>
    <row r="15" spans="1:13">
      <c r="A15" t="s">
        <v>508</v>
      </c>
      <c r="B15">
        <v>0.1</v>
      </c>
      <c r="C15" t="s">
        <v>504</v>
      </c>
    </row>
  </sheetData>
  <pageMargins left="0.7" right="0.7" top="0.75" bottom="0.75" header="0.3" footer="0.3"/>
  <pageSetup scale="8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E478-AC6F-4ECA-95C1-533C2C524FB4}">
  <sheetPr>
    <pageSetUpPr fitToPage="1"/>
  </sheetPr>
  <dimension ref="A1:M15"/>
  <sheetViews>
    <sheetView workbookViewId="0"/>
  </sheetViews>
  <sheetFormatPr defaultColWidth="10.7109375" defaultRowHeight="15"/>
  <cols>
    <col min="1" max="1" width="10.7109375" style="1"/>
    <col min="6" max="6" width="10.7109375" customWidth="1"/>
  </cols>
  <sheetData>
    <row r="1" spans="1:13" s="1" customFormat="1" ht="20.100000000000001" customHeight="1">
      <c r="A1" s="2" t="s">
        <v>520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ht="39.950000000000003" customHeight="1">
      <c r="A2" s="2" t="s">
        <v>495</v>
      </c>
      <c r="B2" s="3">
        <v>4.1000000000000002E-2</v>
      </c>
      <c r="C2" s="3">
        <v>3.9E-2</v>
      </c>
      <c r="D2" s="3">
        <v>4.2000000000000003E-2</v>
      </c>
      <c r="E2" s="3">
        <v>4.8000000000000001E-2</v>
      </c>
      <c r="F2" s="3">
        <v>0.04</v>
      </c>
      <c r="G2" s="3">
        <v>0.04</v>
      </c>
      <c r="H2" s="3">
        <v>4.1000000000000002E-2</v>
      </c>
      <c r="I2" s="3">
        <v>4.2000000000000003E-2</v>
      </c>
      <c r="J2" s="3">
        <v>4.7E-2</v>
      </c>
      <c r="K2" s="3">
        <v>0.04</v>
      </c>
      <c r="L2" s="3">
        <v>4.2000000000000003E-2</v>
      </c>
      <c r="M2" s="3">
        <v>4.1000000000000002E-2</v>
      </c>
    </row>
    <row r="3" spans="1:13" ht="39.950000000000003" customHeight="1">
      <c r="A3" s="2" t="s">
        <v>496</v>
      </c>
      <c r="B3" s="3">
        <v>4.2999999999999997E-2</v>
      </c>
      <c r="C3" s="3">
        <v>4.3999999999999997E-2</v>
      </c>
      <c r="D3" s="3">
        <v>4.1000000000000002E-2</v>
      </c>
      <c r="E3" s="3">
        <v>4.2999999999999997E-2</v>
      </c>
      <c r="F3" s="3">
        <v>4.1000000000000002E-2</v>
      </c>
      <c r="G3" s="3">
        <v>4.2000000000000003E-2</v>
      </c>
      <c r="H3" s="3">
        <v>0.04</v>
      </c>
      <c r="I3" s="3">
        <v>3.9E-2</v>
      </c>
      <c r="J3" s="3">
        <v>4.4999999999999998E-2</v>
      </c>
      <c r="K3" s="3">
        <v>4.2000000000000003E-2</v>
      </c>
      <c r="L3" s="3">
        <v>0.04</v>
      </c>
      <c r="M3" s="3">
        <v>0.04</v>
      </c>
    </row>
    <row r="4" spans="1:13" ht="39.950000000000003" customHeight="1">
      <c r="A4" s="2" t="s">
        <v>497</v>
      </c>
      <c r="B4" s="3">
        <v>4.2000000000000003E-2</v>
      </c>
      <c r="C4" s="3">
        <v>4.2000000000000003E-2</v>
      </c>
      <c r="D4" s="3">
        <v>4.2000000000000003E-2</v>
      </c>
      <c r="E4" s="3">
        <v>4.2999999999999997E-2</v>
      </c>
      <c r="F4" s="3">
        <v>4.2000000000000003E-2</v>
      </c>
      <c r="G4" s="3">
        <v>4.2999999999999997E-2</v>
      </c>
      <c r="H4" s="3">
        <v>4.1000000000000002E-2</v>
      </c>
      <c r="I4" s="3">
        <v>0.04</v>
      </c>
      <c r="J4" s="3">
        <v>4.1000000000000002E-2</v>
      </c>
      <c r="K4" s="3">
        <v>4.2000000000000003E-2</v>
      </c>
      <c r="L4" s="3">
        <v>0.04</v>
      </c>
      <c r="M4" s="3">
        <v>0.04</v>
      </c>
    </row>
    <row r="5" spans="1:13" ht="39.950000000000003" customHeight="1">
      <c r="A5" s="2" t="s">
        <v>498</v>
      </c>
      <c r="B5" s="3">
        <v>4.2000000000000003E-2</v>
      </c>
      <c r="C5" s="3">
        <v>4.2000000000000003E-2</v>
      </c>
      <c r="D5" s="3">
        <v>4.2000000000000003E-2</v>
      </c>
      <c r="E5" s="3">
        <v>4.2000000000000003E-2</v>
      </c>
      <c r="F5" s="3">
        <v>4.2000000000000003E-2</v>
      </c>
      <c r="G5" s="3">
        <v>4.2000000000000003E-2</v>
      </c>
      <c r="H5" s="3">
        <v>4.1000000000000002E-2</v>
      </c>
      <c r="I5" s="3">
        <v>0.04</v>
      </c>
      <c r="J5" s="3">
        <v>0.04</v>
      </c>
      <c r="K5" s="3">
        <v>4.1000000000000002E-2</v>
      </c>
      <c r="L5" s="3">
        <v>0.04</v>
      </c>
      <c r="M5" s="3">
        <v>0.04</v>
      </c>
    </row>
    <row r="6" spans="1:13" ht="39.950000000000003" customHeight="1">
      <c r="A6" s="2" t="s">
        <v>499</v>
      </c>
      <c r="B6" s="3">
        <v>4.2000000000000003E-2</v>
      </c>
      <c r="C6" s="3">
        <v>4.2000000000000003E-2</v>
      </c>
      <c r="D6" s="3">
        <v>4.2000000000000003E-2</v>
      </c>
      <c r="E6" s="3">
        <v>4.2000000000000003E-2</v>
      </c>
      <c r="F6" s="3">
        <v>4.2000000000000003E-2</v>
      </c>
      <c r="G6" s="3">
        <v>4.2000000000000003E-2</v>
      </c>
      <c r="H6" s="3">
        <v>4.1000000000000002E-2</v>
      </c>
      <c r="I6" s="3">
        <v>0.04</v>
      </c>
      <c r="J6" s="3">
        <v>0.04</v>
      </c>
      <c r="K6" s="3">
        <v>4.1000000000000002E-2</v>
      </c>
      <c r="L6" s="3">
        <v>0.04</v>
      </c>
      <c r="M6" s="3">
        <v>4.1000000000000002E-2</v>
      </c>
    </row>
    <row r="7" spans="1:13" ht="39.950000000000003" customHeight="1">
      <c r="A7" s="2" t="s">
        <v>500</v>
      </c>
      <c r="B7" s="3">
        <v>4.2000000000000003E-2</v>
      </c>
      <c r="C7" s="3">
        <v>4.2000000000000003E-2</v>
      </c>
      <c r="D7" s="3">
        <v>4.2000000000000003E-2</v>
      </c>
      <c r="E7" s="3">
        <v>4.2000000000000003E-2</v>
      </c>
      <c r="F7" s="3">
        <v>4.2000000000000003E-2</v>
      </c>
      <c r="G7" s="3">
        <v>4.2000000000000003E-2</v>
      </c>
      <c r="H7" s="3">
        <v>4.1000000000000002E-2</v>
      </c>
      <c r="I7" s="3">
        <v>0.04</v>
      </c>
      <c r="J7" s="3">
        <v>4.1000000000000002E-2</v>
      </c>
      <c r="K7" s="3">
        <v>4.1000000000000002E-2</v>
      </c>
      <c r="L7" s="3">
        <v>0.04</v>
      </c>
      <c r="M7" s="3">
        <v>4.1000000000000002E-2</v>
      </c>
    </row>
    <row r="8" spans="1:13" ht="39.950000000000003" customHeight="1">
      <c r="A8" s="2" t="s">
        <v>501</v>
      </c>
      <c r="B8" s="3">
        <v>4.3999999999999997E-2</v>
      </c>
      <c r="C8" s="3">
        <v>4.2000000000000003E-2</v>
      </c>
      <c r="D8" s="3">
        <v>4.2000000000000003E-2</v>
      </c>
      <c r="E8" s="3">
        <v>4.2000000000000003E-2</v>
      </c>
      <c r="F8" s="3">
        <v>4.2000000000000003E-2</v>
      </c>
      <c r="G8" s="3">
        <v>4.2000000000000003E-2</v>
      </c>
      <c r="H8" s="3">
        <v>4.1000000000000002E-2</v>
      </c>
      <c r="I8" s="3">
        <v>4.1000000000000002E-2</v>
      </c>
      <c r="J8" s="3">
        <v>4.1000000000000002E-2</v>
      </c>
      <c r="K8" s="3">
        <v>4.1000000000000002E-2</v>
      </c>
      <c r="L8" s="3">
        <v>4.1000000000000002E-2</v>
      </c>
      <c r="M8" s="3">
        <v>0.04</v>
      </c>
    </row>
    <row r="9" spans="1:13" ht="39.950000000000003" customHeight="1">
      <c r="A9" s="2" t="s">
        <v>502</v>
      </c>
      <c r="B9" s="3">
        <v>4.2000000000000003E-2</v>
      </c>
      <c r="C9" s="3">
        <v>4.1000000000000002E-2</v>
      </c>
      <c r="D9" s="3">
        <v>4.1000000000000002E-2</v>
      </c>
      <c r="E9" s="3">
        <v>4.2000000000000003E-2</v>
      </c>
      <c r="F9" s="3">
        <v>4.1000000000000002E-2</v>
      </c>
      <c r="G9" s="3">
        <v>4.1000000000000002E-2</v>
      </c>
      <c r="H9" s="3">
        <v>4.2000000000000003E-2</v>
      </c>
      <c r="I9" s="3">
        <v>4.1000000000000002E-2</v>
      </c>
      <c r="J9" s="3">
        <v>4.1000000000000002E-2</v>
      </c>
      <c r="K9" s="3">
        <v>4.1000000000000002E-2</v>
      </c>
      <c r="L9" s="3">
        <v>4.1000000000000002E-2</v>
      </c>
      <c r="M9" s="3">
        <v>4.1000000000000002E-2</v>
      </c>
    </row>
    <row r="11" spans="1:13">
      <c r="A11" t="s">
        <v>503</v>
      </c>
      <c r="B11">
        <v>1000</v>
      </c>
      <c r="C11" t="s">
        <v>504</v>
      </c>
      <c r="E11" t="s">
        <v>471</v>
      </c>
      <c r="F11" t="s">
        <v>512</v>
      </c>
      <c r="G11" t="s">
        <v>513</v>
      </c>
      <c r="H11">
        <v>2</v>
      </c>
    </row>
    <row r="12" spans="1:13">
      <c r="A12" t="s">
        <v>505</v>
      </c>
      <c r="B12">
        <v>100</v>
      </c>
      <c r="C12" t="s">
        <v>504</v>
      </c>
      <c r="E12" t="s">
        <v>478</v>
      </c>
      <c r="F12" t="s">
        <v>514</v>
      </c>
      <c r="G12" t="s">
        <v>515</v>
      </c>
      <c r="H12">
        <v>4</v>
      </c>
    </row>
    <row r="13" spans="1:13">
      <c r="A13" t="s">
        <v>506</v>
      </c>
      <c r="B13">
        <v>10</v>
      </c>
      <c r="C13" t="s">
        <v>504</v>
      </c>
      <c r="E13" t="s">
        <v>485</v>
      </c>
      <c r="F13" t="s">
        <v>516</v>
      </c>
      <c r="G13" t="s">
        <v>513</v>
      </c>
      <c r="H13">
        <v>8</v>
      </c>
    </row>
    <row r="14" spans="1:13">
      <c r="A14" t="s">
        <v>507</v>
      </c>
      <c r="B14">
        <v>1</v>
      </c>
      <c r="C14" t="s">
        <v>504</v>
      </c>
      <c r="E14" t="s">
        <v>492</v>
      </c>
      <c r="F14" t="s">
        <v>517</v>
      </c>
      <c r="G14" t="s">
        <v>518</v>
      </c>
      <c r="H14">
        <v>5</v>
      </c>
    </row>
    <row r="15" spans="1:13">
      <c r="A15" t="s">
        <v>508</v>
      </c>
      <c r="B15">
        <v>0.1</v>
      </c>
      <c r="C15" t="s">
        <v>504</v>
      </c>
    </row>
  </sheetData>
  <pageMargins left="0.7" right="0.7" top="0.75" bottom="0.75" header="0.3" footer="0.3"/>
  <pageSetup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Madison LAING</dc:creator>
  <cp:keywords/>
  <dc:description/>
  <cp:lastModifiedBy>Madison LAING</cp:lastModifiedBy>
  <cp:revision/>
  <dcterms:created xsi:type="dcterms:W3CDTF">2026-03-04T21:41:48Z</dcterms:created>
  <dcterms:modified xsi:type="dcterms:W3CDTF">2026-03-20T23:18:06Z</dcterms:modified>
  <cp:category/>
  <cp:contentStatus/>
</cp:coreProperties>
</file>